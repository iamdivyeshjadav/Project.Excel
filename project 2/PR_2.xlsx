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1FE3999D092E6DC6/Documents/exsel/"/>
    </mc:Choice>
  </mc:AlternateContent>
  <xr:revisionPtr revIDLastSave="1314" documentId="8_{AE6C25BC-FF65-403D-A7B5-146FFEDF7C01}" xr6:coauthVersionLast="47" xr6:coauthVersionMax="47" xr10:uidLastSave="{64741900-2E5B-44F5-B896-2EF87EB89F5D}"/>
  <bookViews>
    <workbookView xWindow="-108" yWindow="-108" windowWidth="23256" windowHeight="13896" activeTab="8" xr2:uid="{62EB6634-2F45-4814-8BCB-509A5F81CFD4}"/>
  </bookViews>
  <sheets>
    <sheet name="Dashboard" sheetId="11" r:id="rId1"/>
    <sheet name="data" sheetId="1" r:id="rId2"/>
    <sheet name="CustomerSummary" sheetId="2" r:id="rId3"/>
    <sheet name="WhatIf" sheetId="13" r:id="rId4"/>
    <sheet name="MonthlySales" sheetId="9" r:id="rId5"/>
    <sheet name="DescriptiveStats" sheetId="5" r:id="rId6"/>
    <sheet name="Regression" sheetId="3" r:id="rId7"/>
    <sheet name="PivotTable" sheetId="15" r:id="rId8"/>
    <sheet name="Dashboard tabal" sheetId="17" r:id="rId9"/>
  </sheets>
  <definedNames>
    <definedName name="Slicer_Product_Category">#N/A</definedName>
    <definedName name="Slicer_Region">#N/A</definedName>
    <definedName name="Slicer_Region1">#N/A</definedName>
    <definedName name="Slicer_Top_10?">#N/A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13" l="1" a="1"/>
  <c r="H13" i="13" s="1"/>
  <c r="I13" i="13" s="1"/>
  <c r="H14" i="13" a="1"/>
  <c r="H14" i="13" s="1"/>
  <c r="I14" i="13" s="1"/>
  <c r="H15" i="13" a="1"/>
  <c r="H15" i="13" s="1"/>
  <c r="I15" i="13" s="1"/>
  <c r="H16" i="13" a="1"/>
  <c r="H16" i="13"/>
  <c r="I16" i="13" s="1"/>
  <c r="H17" i="13" a="1"/>
  <c r="H17" i="13" s="1"/>
  <c r="I17" i="13" s="1"/>
  <c r="E13" i="13"/>
  <c r="H11" i="13" s="1" a="1"/>
  <c r="H11" i="13" s="1"/>
  <c r="I11" i="13" s="1"/>
  <c r="E14" i="13"/>
  <c r="H12" i="13" s="1" a="1"/>
  <c r="H12" i="13" s="1"/>
  <c r="I12" i="13" s="1"/>
  <c r="E12" i="13"/>
  <c r="C2" i="2"/>
  <c r="B13" i="13" l="1" a="1"/>
  <c r="B13" i="13" s="1"/>
  <c r="B14" i="13" s="1"/>
  <c r="B15" i="13" s="1"/>
  <c r="F2" i="2"/>
  <c r="G2" i="2" s="1"/>
  <c r="F7" i="2"/>
  <c r="G7" i="2" s="1"/>
  <c r="F14" i="2"/>
  <c r="G14" i="2" s="1"/>
  <c r="F19" i="2"/>
  <c r="G19" i="2" s="1"/>
  <c r="F20" i="2"/>
  <c r="G20" i="2" s="1"/>
  <c r="F26" i="2"/>
  <c r="G26" i="2" s="1"/>
  <c r="E3" i="2"/>
  <c r="E4" i="2"/>
  <c r="E5" i="2"/>
  <c r="E6" i="2"/>
  <c r="E7" i="2"/>
  <c r="E8" i="2"/>
  <c r="E9" i="2"/>
  <c r="E10" i="2"/>
  <c r="E11" i="2"/>
  <c r="E12" i="2"/>
  <c r="E13" i="2"/>
  <c r="E14" i="2"/>
  <c r="E15" i="2"/>
  <c r="E16" i="2"/>
  <c r="E17" i="2"/>
  <c r="E18" i="2"/>
  <c r="E19" i="2"/>
  <c r="E20" i="2"/>
  <c r="E21" i="2"/>
  <c r="E22" i="2"/>
  <c r="E23" i="2"/>
  <c r="E24" i="2"/>
  <c r="E25" i="2"/>
  <c r="E26" i="2"/>
  <c r="E27" i="2"/>
  <c r="E28" i="2"/>
  <c r="E2" i="2"/>
  <c r="D2" i="2"/>
  <c r="D3" i="2"/>
  <c r="D4" i="2"/>
  <c r="D5" i="2"/>
  <c r="D6" i="2"/>
  <c r="D7" i="2"/>
  <c r="D8" i="2"/>
  <c r="D9" i="2"/>
  <c r="D10" i="2"/>
  <c r="D11" i="2"/>
  <c r="D12" i="2"/>
  <c r="D13" i="2"/>
  <c r="D14" i="2"/>
  <c r="D15" i="2"/>
  <c r="D16" i="2"/>
  <c r="D17" i="2"/>
  <c r="D18" i="2"/>
  <c r="D19" i="2"/>
  <c r="D20" i="2"/>
  <c r="D21" i="2"/>
  <c r="D22" i="2"/>
  <c r="D23" i="2"/>
  <c r="D24" i="2"/>
  <c r="D25" i="2"/>
  <c r="D26" i="2"/>
  <c r="D27" i="2"/>
  <c r="D28" i="2"/>
  <c r="C3" i="2"/>
  <c r="F3" i="2" s="1"/>
  <c r="G3" i="2" s="1"/>
  <c r="C4" i="2"/>
  <c r="F4" i="2" s="1"/>
  <c r="G4" i="2" s="1"/>
  <c r="C5" i="2"/>
  <c r="F5" i="2" s="1"/>
  <c r="G5" i="2" s="1"/>
  <c r="C6" i="2"/>
  <c r="F6" i="2" s="1"/>
  <c r="G6" i="2" s="1"/>
  <c r="C7" i="2"/>
  <c r="C8" i="2"/>
  <c r="F8" i="2" s="1"/>
  <c r="G8" i="2" s="1"/>
  <c r="C9" i="2"/>
  <c r="F9" i="2" s="1"/>
  <c r="G9" i="2" s="1"/>
  <c r="C10" i="2"/>
  <c r="F10" i="2" s="1"/>
  <c r="G10" i="2" s="1"/>
  <c r="C11" i="2"/>
  <c r="F11" i="2" s="1"/>
  <c r="G11" i="2" s="1"/>
  <c r="C12" i="2"/>
  <c r="F12" i="2" s="1"/>
  <c r="G12" i="2" s="1"/>
  <c r="C13" i="2"/>
  <c r="F13" i="2" s="1"/>
  <c r="G13" i="2" s="1"/>
  <c r="C14" i="2"/>
  <c r="C15" i="2"/>
  <c r="F15" i="2" s="1"/>
  <c r="G15" i="2" s="1"/>
  <c r="C16" i="2"/>
  <c r="F16" i="2" s="1"/>
  <c r="G16" i="2" s="1"/>
  <c r="C17" i="2"/>
  <c r="F17" i="2" s="1"/>
  <c r="G17" i="2" s="1"/>
  <c r="C18" i="2"/>
  <c r="F18" i="2" s="1"/>
  <c r="G18" i="2" s="1"/>
  <c r="C19" i="2"/>
  <c r="C20" i="2"/>
  <c r="C21" i="2"/>
  <c r="F21" i="2" s="1"/>
  <c r="G21" i="2" s="1"/>
  <c r="C22" i="2"/>
  <c r="F22" i="2" s="1"/>
  <c r="G22" i="2" s="1"/>
  <c r="C23" i="2"/>
  <c r="F23" i="2" s="1"/>
  <c r="G23" i="2" s="1"/>
  <c r="C24" i="2"/>
  <c r="F24" i="2" s="1"/>
  <c r="G24" i="2" s="1"/>
  <c r="C25" i="2"/>
  <c r="F25" i="2" s="1"/>
  <c r="G25" i="2" s="1"/>
  <c r="C26" i="2"/>
  <c r="C27" i="2"/>
  <c r="F27" i="2" s="1"/>
  <c r="G27" i="2" s="1"/>
  <c r="C28" i="2"/>
  <c r="F28" i="2" s="1"/>
  <c r="G28" i="2"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 i="1"/>
  <c r="J2" i="1"/>
  <c r="C8" i="9" l="1"/>
  <c r="B7" i="9"/>
  <c r="C15" i="9"/>
  <c r="B14" i="9"/>
  <c r="C16" i="9"/>
  <c r="B15" i="9"/>
  <c r="D15" i="9" s="1"/>
  <c r="C6" i="9"/>
  <c r="B17" i="9"/>
  <c r="B5" i="9"/>
  <c r="C9" i="9"/>
  <c r="B8" i="9"/>
  <c r="D8" i="9" s="1"/>
  <c r="C10" i="9"/>
  <c r="B9" i="9"/>
  <c r="C11" i="9"/>
  <c r="B10" i="9"/>
  <c r="C12" i="9"/>
  <c r="B11" i="9"/>
  <c r="D11" i="9" s="1"/>
  <c r="B12" i="9"/>
  <c r="D12" i="9" s="1"/>
  <c r="C17" i="9"/>
  <c r="C5" i="9"/>
  <c r="C7" i="9"/>
  <c r="C13" i="9"/>
  <c r="C14" i="9"/>
  <c r="B13" i="9"/>
  <c r="D13" i="9" s="1"/>
  <c r="B16" i="9"/>
  <c r="D16" i="9" s="1"/>
  <c r="B6" i="9"/>
  <c r="D17" i="9" l="1"/>
  <c r="D14" i="9"/>
  <c r="D10" i="9"/>
  <c r="D6" i="9"/>
  <c r="D7" i="9"/>
  <c r="D9"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<sst xmlns="http://schemas.openxmlformats.org/spreadsheetml/2006/main" count="984" uniqueCount="146">
  <si>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</si>
  <si>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</si>
  <si>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</si>
  <si>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</si>
  <si>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</si>
  <si>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</si>
  <si>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</si>
  <si>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</si>
  <si>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</si>
  <si>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</si>
  <si>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</si>
  <si>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</si>
  <si>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</si>
  <si>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</si>
  <si>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</si>
  <si>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</si>
  <si>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</si>
  <si>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</si>
  <si>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</si>
  <si>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</si>
  <si>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</si>
  <si>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</si>
  <si>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</si>
  <si>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</si>
  <si>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</si>
  <si>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</si>
  <si>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</si>
  <si>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</si>
  <si>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</si>
  <si>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</si>
  <si>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</si>
  <si>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</si>
  <si>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</si>
  <si>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</si>
  <si>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</si>
  <si>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</si>
  <si>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</si>
  <si>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</si>
  <si>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</si>
  <si>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</si>
  <si>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</si>
  <si>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</si>
  <si>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</si>
  <si>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</si>
  <si>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</si>
  <si>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</si>
  <si>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</si>
  <si>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</si>
  <si>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</si>
  <si>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</si>
  <si>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</si>
  <si>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</si>
  <si>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</si>
  <si>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</si>
  <si>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</si>
  <si>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</si>
  <si>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</si>
  <si>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</si>
  <si>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</si>
  <si>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</si>
  <si>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</si>
  <si>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</si>
  <si>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</si>
  <si>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</si>
  <si>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</si>
  <si>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</si>
  <si>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</si>
  <si>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</si>
  <si>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</si>
  <si>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</si>
  <si>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</si>
  <si>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</si>
  <si>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</si>
  <si>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</si>
  <si>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</si>
  <si>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Customer_ID</t>
  </si>
  <si>
    <t>Timestamp</t>
  </si>
  <si>
    <t>Order Month</t>
  </si>
  <si>
    <t>CustomerName</t>
  </si>
  <si>
    <t>Total Purchase (Sales)</t>
  </si>
  <si>
    <t>Total Profit</t>
  </si>
  <si>
    <t>Order Count</t>
  </si>
  <si>
    <t>Rank</t>
  </si>
  <si>
    <t>Top 10?</t>
  </si>
  <si>
    <t>CustorID</t>
  </si>
  <si>
    <t>Regression Statistics</t>
  </si>
  <si>
    <t>Multiple R</t>
  </si>
  <si>
    <t>R Square</t>
  </si>
  <si>
    <t>Adjusted R Square</t>
  </si>
  <si>
    <t>Standard Error</t>
  </si>
  <si>
    <t>Observations</t>
  </si>
  <si>
    <t>Regression</t>
  </si>
  <si>
    <t>Residual</t>
  </si>
  <si>
    <t>Total</t>
  </si>
  <si>
    <t>Intercept</t>
  </si>
  <si>
    <t>df</t>
  </si>
  <si>
    <t>SS</t>
  </si>
  <si>
    <t>MS</t>
  </si>
  <si>
    <t>F</t>
  </si>
  <si>
    <t>Significance F</t>
  </si>
  <si>
    <t>Coefficients</t>
  </si>
  <si>
    <t>t Stat</t>
  </si>
  <si>
    <t>P-value</t>
  </si>
  <si>
    <t>Lower 95%</t>
  </si>
  <si>
    <t>Upper 95%</t>
  </si>
  <si>
    <t>Lower 95.0%</t>
  </si>
  <si>
    <t>Upper 95.0%</t>
  </si>
  <si>
    <t xml:space="preserve"> REGRESSION: Profit vs Sales</t>
  </si>
  <si>
    <t>Metric</t>
  </si>
  <si>
    <t>Count</t>
  </si>
  <si>
    <t>Sum</t>
  </si>
  <si>
    <t>Mean</t>
  </si>
  <si>
    <t>Median</t>
  </si>
  <si>
    <t>Mode</t>
  </si>
  <si>
    <t>Standard Deviation</t>
  </si>
  <si>
    <t>Minimum</t>
  </si>
  <si>
    <t>Maximum</t>
  </si>
  <si>
    <t>Range</t>
  </si>
  <si>
    <t>Quantiy</t>
  </si>
  <si>
    <t>Sample Variance</t>
  </si>
  <si>
    <t>Kurtosis</t>
  </si>
  <si>
    <t>Skewness</t>
  </si>
  <si>
    <t>DESCRIPTIVE STATISTICS</t>
  </si>
  <si>
    <t>Month</t>
  </si>
  <si>
    <t>Total Sales</t>
  </si>
  <si>
    <t>Growth vs Prior Month</t>
  </si>
  <si>
    <t>MONTHLY SALES &amp; GROWTH</t>
  </si>
  <si>
    <t>Total Sales (all orders)</t>
  </si>
  <si>
    <t>Total Profit (current discounts)</t>
  </si>
  <si>
    <t>Current Average Discount</t>
  </si>
  <si>
    <t>Adjusted Total Profit at New Discount</t>
  </si>
  <si>
    <t>Profit Impact ($)</t>
  </si>
  <si>
    <t>Profit Impact (%)</t>
  </si>
  <si>
    <t>WHAT-IF ANALYSIS: Discount Impact on Total Profit</t>
  </si>
  <si>
    <t>WHAT IF DATA</t>
  </si>
  <si>
    <t>CORRRNT DATA</t>
  </si>
  <si>
    <t>Discount Level</t>
  </si>
  <si>
    <t>Adjusted Total Profit</t>
  </si>
  <si>
    <t>Change vs Current</t>
  </si>
  <si>
    <t>Row Labels</t>
  </si>
  <si>
    <t>Grand Total</t>
  </si>
  <si>
    <t>Sum of Sales</t>
  </si>
  <si>
    <t>Column Labels</t>
  </si>
  <si>
    <t>TOTAL SALES BY REGION AND PRODUCT</t>
  </si>
  <si>
    <t>Sum of Profit</t>
  </si>
  <si>
    <t>Sum of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</si>
</sst>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dd/mm/yyyy\ hh\:mm\ AM/PM"/>
    <numFmt numFmtId="166" formatCode="mmm\-yyyy"/>
    <numFmt numFmtId="167" formatCode="\$#,##0.00;[Red]&quot;-$&quot;#,##0.00"/>
    <numFmt numFmtId="168" formatCode="[$$-2809]#,##0.00"/>
    <numFmt numFmtId="169" formatCode="[$$-45C]#,##0.00"/>
  </numFmts>
  <fonts count="13" x14ac:knownFonts="1">
    <font>
      <sz val="11"/>
      <color theme="1"/>
      <name val="Aptos Narrow"/>
      <family val="2"/>
      <scheme val="minor"/>
    </font>
    <font>
      <sz val="11"/>
      <color theme="1"/>
      <name val="Calibri"/>
      <family val="2"/>
    </font>
    <font>
      <sz val="11"/>
      <color theme="0"/>
      <name val="Aptos Narrow"/>
      <family val="2"/>
      <scheme val="minor"/>
    </font>
    <font>
      <b/>
      <sz val="11"/>
      <color theme="2" tint="-0.89999084444715716"/>
      <name val="Calibri"/>
      <family val="2"/>
    </font>
    <font>
      <b/>
      <sz val="11"/>
      <color rgb="FFFFFFFF"/>
      <name val="Arial"/>
      <family val="2"/>
    </font>
    <font>
      <sz val="10"/>
      <name val="Arial"/>
      <family val="2"/>
    </font>
    <font>
      <i/>
      <sz val="11"/>
      <color theme="1"/>
      <name val="Aptos Narrow"/>
      <family val="2"/>
      <scheme val="minor"/>
    </font>
    <font>
      <b/>
      <sz val="11"/>
      <color rgb="FF000000"/>
      <name val="Arial"/>
      <family val="2"/>
    </font>
    <font>
      <b/>
      <sz val="14"/>
      <color rgb="FFFFFFFF"/>
      <name val="Arial"/>
      <family val="2"/>
    </font>
    <font>
      <b/>
      <sz val="11"/>
      <color theme="1"/>
      <name val="Aptos Narrow"/>
      <family val="2"/>
      <scheme val="minor"/>
    </font>
    <font>
      <sz val="11"/>
      <name val="Arial"/>
      <family val="2"/>
    </font>
    <font>
      <b/>
      <sz val="22"/>
      <color theme="1"/>
      <name val="Aptos Narrow"/>
      <family val="2"/>
      <scheme val="minor"/>
    </font>
    <font>
      <b/>
      <sz val="20"/>
      <color theme="1"/>
      <name val="Arial"/>
      <family val="2"/>
    </font>
  </fonts>
  <fills count="9">
    <fill>
      <patternFill patternType="none"/>
    </fill>
    <fill>
      <patternFill patternType="gray125"/>
    </fill>
    <fill>
      <patternFill patternType="solid">
        <fgColor theme="4" tint="0.39997558519241921"/>
        <bgColor indexed="64"/>
      </patternFill>
    </fill>
    <fill>
      <patternFill patternType="solid">
        <fgColor rgb="FF1F4E78"/>
        <bgColor rgb="FF003366"/>
      </patternFill>
    </fill>
    <fill>
      <patternFill patternType="solid">
        <fgColor theme="3" tint="0.499984740745262"/>
        <bgColor indexed="64"/>
      </patternFill>
    </fill>
    <fill>
      <patternFill patternType="solid">
        <fgColor rgb="FFD9E1F2"/>
        <bgColor rgb="FFDDEBF7"/>
      </patternFill>
    </fill>
    <fill>
      <patternFill patternType="solid">
        <fgColor theme="4" tint="0.59999389629810485"/>
        <bgColor indexed="64"/>
      </patternFill>
    </fill>
    <fill>
      <patternFill patternType="solid">
        <fgColor theme="9" tint="0.39997558519241921"/>
        <bgColor indexed="64"/>
      </patternFill>
    </fill>
    <fill>
      <patternFill patternType="solid">
        <fgColor theme="3" tint="9.9978637043366805E-2"/>
        <bgColor indexed="64"/>
      </patternFill>
    </fill>
  </fills>
  <borders count="2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60">
    <xf numFmtId="0" fontId="0" fillId="0" borderId="0" xfId="0"/>
    <xf numFmtId="0" fontId="1" fillId="0" borderId="2" xfId="0" applyFont="1" applyBorder="1" applyAlignment="1">
      <alignment horizontal="center" wrapText="1"/>
    </xf>
    <xf numFmtId="0" fontId="1" fillId="0" borderId="1" xfId="0" applyFont="1" applyBorder="1" applyAlignment="1">
      <alignment horizontal="center" wrapText="1"/>
    </xf>
    <xf numFmtId="14" fontId="1" fillId="0" borderId="1" xfId="0" applyNumberFormat="1" applyFont="1" applyBorder="1" applyAlignment="1">
      <alignment horizontal="center" wrapText="1"/>
    </xf>
    <xf numFmtId="0" fontId="1" fillId="0" borderId="3" xfId="0" applyFont="1" applyBorder="1" applyAlignment="1">
      <alignment horizontal="center" wrapText="1"/>
    </xf>
    <xf numFmtId="0" fontId="1" fillId="0" borderId="7" xfId="0" applyFont="1" applyBorder="1" applyAlignment="1">
      <alignment horizontal="center" wrapText="1"/>
    </xf>
    <xf numFmtId="0" fontId="1" fillId="0" borderId="8" xfId="0" applyFont="1" applyBorder="1" applyAlignment="1">
      <alignment horizontal="center" wrapText="1"/>
    </xf>
    <xf numFmtId="14" fontId="1" fillId="0" borderId="8" xfId="0" applyNumberFormat="1" applyFont="1" applyBorder="1" applyAlignment="1">
      <alignment horizontal="center" wrapText="1"/>
    </xf>
    <xf numFmtId="0" fontId="1" fillId="0" borderId="9" xfId="0" applyFont="1" applyBorder="1" applyAlignment="1">
      <alignment horizontal="center" wrapText="1"/>
    </xf>
    <xf numFmtId="17" fontId="1" fillId="0" borderId="0" xfId="0" applyNumberFormat="1" applyFont="1" applyAlignment="1">
      <alignment horizontal="center" wrapText="1"/>
    </xf>
    <xf numFmtId="0" fontId="3" fillId="2" borderId="4" xfId="0" applyFont="1" applyFill="1" applyBorder="1" applyAlignment="1">
      <alignment horizontal="center" wrapText="1"/>
    </xf>
    <xf numFmtId="0" fontId="3" fillId="2" borderId="5" xfId="0" applyFont="1" applyFill="1" applyBorder="1" applyAlignment="1">
      <alignment horizontal="center" wrapText="1"/>
    </xf>
    <xf numFmtId="0" fontId="3" fillId="2" borderId="6" xfId="0" applyFont="1" applyFill="1" applyBorder="1" applyAlignment="1">
      <alignment horizontal="center" wrapText="1"/>
    </xf>
    <xf numFmtId="165" fontId="3" fillId="2" borderId="5" xfId="0" applyNumberFormat="1" applyFont="1" applyFill="1" applyBorder="1" applyAlignment="1">
      <alignment horizontal="center" wrapText="1"/>
    </xf>
    <xf numFmtId="165" fontId="1" fillId="0" borderId="5" xfId="0" applyNumberFormat="1" applyFont="1" applyBorder="1" applyAlignment="1">
      <alignment horizontal="center" wrapText="1"/>
    </xf>
    <xf numFmtId="165" fontId="0" fillId="0" borderId="0" xfId="0" applyNumberFormat="1"/>
    <xf numFmtId="0" fontId="5" fillId="0" borderId="0" xfId="0" applyFont="1" applyAlignment="1">
      <alignment horizontal="center"/>
    </xf>
    <xf numFmtId="164" fontId="5" fillId="0" borderId="0" xfId="0" applyNumberFormat="1" applyFont="1" applyAlignment="1">
      <alignment horizontal="center"/>
    </xf>
    <xf numFmtId="0" fontId="5" fillId="0" borderId="10" xfId="0" applyFont="1" applyBorder="1" applyAlignment="1">
      <alignment horizontal="center"/>
    </xf>
    <xf numFmtId="164" fontId="5" fillId="0" borderId="10" xfId="0" applyNumberFormat="1"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5" fillId="0" borderId="16" xfId="0"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2" fillId="4" borderId="0" xfId="0" applyFont="1" applyFill="1" applyAlignment="1">
      <alignment horizontal="center" vertical="center"/>
    </xf>
    <xf numFmtId="0" fontId="6" fillId="0" borderId="10" xfId="0" applyFont="1" applyBorder="1" applyAlignment="1">
      <alignment horizontal="center"/>
    </xf>
    <xf numFmtId="0" fontId="0" fillId="0" borderId="10" xfId="0" applyBorder="1" applyAlignment="1">
      <alignment horizontal="center"/>
    </xf>
    <xf numFmtId="0" fontId="0" fillId="0" borderId="10" xfId="0" applyBorder="1"/>
    <xf numFmtId="0" fontId="7" fillId="5" borderId="10" xfId="0" applyFont="1" applyFill="1" applyBorder="1" applyAlignment="1">
      <alignment horizontal="center" vertical="center" wrapText="1"/>
    </xf>
    <xf numFmtId="10" fontId="0" fillId="0" borderId="0" xfId="0" applyNumberFormat="1"/>
    <xf numFmtId="10" fontId="7" fillId="5" borderId="10" xfId="0" applyNumberFormat="1" applyFont="1" applyFill="1" applyBorder="1" applyAlignment="1">
      <alignment horizontal="center" vertical="center" wrapText="1"/>
    </xf>
    <xf numFmtId="166" fontId="5" fillId="0" borderId="10" xfId="0" applyNumberFormat="1" applyFont="1" applyBorder="1" applyAlignment="1">
      <alignment horizontal="center" vertical="center"/>
    </xf>
    <xf numFmtId="0" fontId="0" fillId="0" borderId="10" xfId="0" applyBorder="1" applyAlignment="1">
      <alignment horizontal="center" vertical="center"/>
    </xf>
    <xf numFmtId="10" fontId="0" fillId="0" borderId="10" xfId="0" applyNumberFormat="1" applyBorder="1" applyAlignment="1">
      <alignment horizontal="center" vertical="center"/>
    </xf>
    <xf numFmtId="0" fontId="9" fillId="0" borderId="10" xfId="0" applyFont="1" applyBorder="1" applyAlignment="1">
      <alignment horizontal="center"/>
    </xf>
    <xf numFmtId="168" fontId="0" fillId="0" borderId="10" xfId="0" applyNumberFormat="1" applyBorder="1" applyAlignment="1">
      <alignment horizontal="center"/>
    </xf>
    <xf numFmtId="169" fontId="0" fillId="0" borderId="10" xfId="0" applyNumberFormat="1" applyBorder="1" applyAlignment="1">
      <alignment horizontal="center"/>
    </xf>
    <xf numFmtId="0" fontId="10" fillId="0" borderId="10" xfId="0" applyFont="1" applyBorder="1" applyAlignment="1">
      <alignment horizontal="center"/>
    </xf>
    <xf numFmtId="10" fontId="0" fillId="0" borderId="10" xfId="0" applyNumberFormat="1" applyBorder="1" applyAlignment="1">
      <alignment horizontal="center"/>
    </xf>
    <xf numFmtId="9" fontId="0" fillId="0" borderId="10" xfId="0" applyNumberFormat="1" applyBorder="1" applyAlignment="1">
      <alignment horizontal="center"/>
    </xf>
    <xf numFmtId="0" fontId="10" fillId="0" borderId="0" xfId="0" applyFont="1" applyAlignment="1">
      <alignment horizontal="center"/>
    </xf>
    <xf numFmtId="10" fontId="0" fillId="0" borderId="0" xfId="0" applyNumberFormat="1" applyAlignment="1">
      <alignment horizontal="center"/>
    </xf>
    <xf numFmtId="0" fontId="7" fillId="5" borderId="20" xfId="0" applyFont="1" applyFill="1" applyBorder="1" applyAlignment="1">
      <alignment horizontal="center" vertical="center" wrapText="1"/>
    </xf>
    <xf numFmtId="9" fontId="5" fillId="0" borderId="20" xfId="0" applyNumberFormat="1" applyFont="1" applyBorder="1"/>
    <xf numFmtId="164" fontId="5" fillId="0" borderId="20" xfId="0" applyNumberFormat="1" applyFont="1" applyBorder="1"/>
    <xf numFmtId="167" fontId="5" fillId="0" borderId="20" xfId="0" applyNumberFormat="1" applyFont="1" applyBorder="1"/>
    <xf numFmtId="0" fontId="0" fillId="0" borderId="0" xfId="0" pivotButton="1"/>
    <xf numFmtId="0" fontId="0" fillId="0" borderId="0" xfId="0" applyAlignment="1">
      <alignment horizontal="left"/>
    </xf>
    <xf numFmtId="0" fontId="0" fillId="8" borderId="0" xfId="0" applyFill="1"/>
    <xf numFmtId="0" fontId="12" fillId="6" borderId="10" xfId="0" applyFont="1" applyFill="1" applyBorder="1" applyAlignment="1">
      <alignment horizontal="center" vertical="center"/>
    </xf>
    <xf numFmtId="0" fontId="11" fillId="6" borderId="10" xfId="0" applyFont="1" applyFill="1" applyBorder="1" applyAlignment="1">
      <alignment horizontal="center"/>
    </xf>
    <xf numFmtId="0" fontId="11" fillId="7" borderId="0" xfId="0" applyFont="1" applyFill="1" applyAlignment="1">
      <alignment horizontal="center" vertical="center"/>
    </xf>
    <xf numFmtId="0" fontId="8" fillId="3" borderId="10" xfId="0" applyFont="1" applyFill="1" applyBorder="1" applyAlignment="1">
      <alignment horizontal="center" vertical="center"/>
    </xf>
    <xf numFmtId="0" fontId="8" fillId="3" borderId="0" xfId="0" applyFont="1" applyFill="1" applyAlignment="1">
      <alignment horizontal="center"/>
    </xf>
    <xf numFmtId="0" fontId="6" fillId="0" borderId="19" xfId="0" applyFont="1" applyBorder="1" applyAlignment="1">
      <alignment horizontal="center"/>
    </xf>
    <xf numFmtId="0" fontId="11" fillId="2" borderId="0" xfId="0" applyFont="1" applyFill="1" applyAlignment="1">
      <alignment horizontal="center" vertical="center"/>
    </xf>
  </cellXfs>
  <cellStyles count="1">
    <cellStyle name="Normal" xfId="0" builtinId="0"/>
  </cellStyles>
  <dxfs count="29">
    <dxf>
      <font>
        <b/>
        <name val="Arial"/>
        <charset val="1"/>
      </font>
      <fill>
        <patternFill>
          <bgColor rgb="FFFFF2CC"/>
        </patternFill>
      </fill>
    </dxf>
    <dxf>
      <font>
        <b/>
        <name val="Arial"/>
        <charset val="1"/>
      </font>
      <fill>
        <patternFill>
          <bgColor rgb="FFC6EFCE"/>
        </patternFill>
      </fill>
    </dxf>
    <dxf>
      <font>
        <b val="0"/>
        <i val="0"/>
        <strike val="0"/>
        <condense val="0"/>
        <extend val="0"/>
        <outline val="0"/>
        <shadow val="0"/>
        <u val="none"/>
        <vertAlign val="baseline"/>
        <sz val="10"/>
        <color auto="1"/>
        <name val="Arial"/>
        <family val="2"/>
        <scheme val="none"/>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rial"/>
        <family val="2"/>
        <scheme val="none"/>
      </font>
      <fill>
        <patternFill patternType="solid">
          <fgColor rgb="FF003366"/>
          <bgColor rgb="FF1F4E78"/>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165" formatCode="dd/mm/yyyy\ hh\:mm\ AM/PM"/>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2" tint="-0.89999084444715716"/>
        <name val="Calibri"/>
        <family val="2"/>
        <scheme val="none"/>
      </font>
      <fill>
        <patternFill patternType="solid">
          <fgColor indexed="64"/>
          <bgColor theme="4" tint="0.39997558519241921"/>
        </patternFill>
      </fill>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DF2ED"/>
      <color rgb="FFFEF1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[PR_2.xlsx]Dashboard tabal!PivotTable32</c:name>
    <c:fmtId val="2"/>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a:t>Sum of Profit by Product_Category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tabal'!$B$3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'Dashboard tabal'!$A$4:$A$8</c:f>
              <c:strCache>
                <c:ptCount val="5"/>
                <c:pt idx="0">
                  <c:v>Books</c:v>
                </c:pt>
                <c:pt idx="1">
                  <c:v>Clothing</c:v>
                </c:pt>
                <c:pt idx="2">
                  <c:v>Electronics</c:v>
                </c:pt>
                <c:pt idx="3">
                  <c:v>Furniture</c:v>
                </c:pt>
                <c:pt idx="4">
                  <c:v>Office Supplies</c:v>
                </c:pt>
              </c:strCache>
            </c:strRef>
          </c:cat>
          <c:val>
            <c:numRef>
              <c:f>'Dashboard tabal'!$B$4:$B$8</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0-DAE4-4795-8A34-A5B786311C91}"/>
            </c:ext>
          </c:extLst>
        </c:ser>
        <c:dLbls>
          <c:showLegendKey val="0"/>
          <c:showVal val="0"/>
          <c:showCatName val="0"/>
          <c:showSerName val="0"/>
          <c:showPercent val="0"/>
          <c:showBubbleSize val="0"/>
        </c:dLbls>
        <c:gapWidth val="315"/>
        <c:overlap val="-40"/>
        <c:axId val="1675454944"/>
        <c:axId val="1307240368"/>
      </c:barChart>
      <c:catAx>
        <c:axId val="16754549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7240368"/>
        <c:crosses val="autoZero"/>
        <c:auto val="1"/>
        <c:lblAlgn val="ctr"/>
        <c:lblOffset val="100"/>
        <c:noMultiLvlLbl val="0"/>
      </c:catAx>
      <c:valAx>
        <c:axId val="13072403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5454944"/>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[PR_2.xlsx]Dashboard tabal!PivotTable48</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'Dashboard tabal'!$E$3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tabal'!$D$4:$D$8</c:f>
              <c:strCache>
                <c:ptCount val="5"/>
                <c:pt idx="0">
                  <c:v>Central</c:v>
                </c:pt>
                <c:pt idx="1">
                  <c:v>East</c:v>
                </c:pt>
                <c:pt idx="2">
                  <c:v>North</c:v>
                </c:pt>
                <c:pt idx="3">
                  <c:v>South</c:v>
                </c:pt>
                <c:pt idx="4">
                  <c:v>West</c:v>
                </c:pt>
              </c:strCache>
            </c:strRef>
          </c:cat>
          <c:val>
            <c:numRef>
              <c:f>'Dashboard tabal'!$E$4:$E$8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47FA-4BEF-9C2E-EFAD63240AAD}"/>
            </c:ext>
          </c:extLst>
        </c:ser>
        <c:dLbls>
          <c:showLegendKey val="0"/>
          <c:showVal val="1"/>
          <c:showCatName val="0"/>
          <c:showSerName val="0"/>
          <c:showPercent val="0"/>
          <c:showBubbleSize val="0"/>
        </c:dLbls>
        <c:gapWidth val="150"/>
        <c:shape val="box"/>
        <c:axId val="1858360592"/>
        <c:axId val="1901183376"/>
        <c:axId val="1841284832"/>
      </c:bar3DChart>
      <c:catAx>
        <c:axId val="1858360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901183376"/>
        <c:crosses val="autoZero"/>
        <c:auto val="1"/>
        <c:lblAlgn val="ctr"/>
        <c:lblOffset val="100"/>
        <c:noMultiLvlLbl val="0"/>
      </c:catAx>
      <c:valAx>
        <c:axId val="190118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858360592"/>
        <c:crosses val="autoZero"/>
        <c:crossBetween val="between"/>
      </c:valAx>
      <c:serAx>
        <c:axId val="184128483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9011833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solidFill>
      <a:round/>
    </a:ln>
    <a:effectLst/>
  </c:spPr>
  <c:txPr>
    <a:bodyPr/>
    <a:lstStyle/>
    <a:p>
      <a:pPr>
        <a:defRPr b="0" cap="none" spc="0">
          <a:ln w="0"/>
          <a:solidFill>
            <a:schemeClr val="bg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7"/>
              <c:pt idx="0">
                <c:v>David Anderson</c:v>
              </c:pt>
              <c:pt idx="1">
                <c:v>David Davis</c:v>
              </c:pt>
              <c:pt idx="2">
                <c:v>David Smith</c:v>
              </c:pt>
              <c:pt idx="3">
                <c:v>David Thomas</c:v>
              </c:pt>
              <c:pt idx="4">
                <c:v>Emma Taylor</c:v>
              </c:pt>
              <c:pt idx="5">
                <c:v>James Davis</c:v>
              </c:pt>
              <c:pt idx="6">
                <c:v>James Taylor</c:v>
              </c:pt>
              <c:pt idx="7">
                <c:v>John Brown</c:v>
              </c:pt>
              <c:pt idx="8">
                <c:v>Linda Brown</c:v>
              </c:pt>
              <c:pt idx="9">
                <c:v>Linda Davis</c:v>
              </c:pt>
              <c:pt idx="10">
                <c:v>Linda Jackson</c:v>
              </c:pt>
              <c:pt idx="11">
                <c:v>Linda Moore</c:v>
              </c:pt>
              <c:pt idx="12">
                <c:v>Linda Taylor</c:v>
              </c:pt>
              <c:pt idx="13">
                <c:v>Mary Jackson</c:v>
              </c:pt>
              <c:pt idx="14">
                <c:v>Mary Wilson</c:v>
              </c:pt>
              <c:pt idx="15">
                <c:v>Sarah Anderson</c:v>
              </c:pt>
              <c:pt idx="16">
                <c:v>Sarah Davis</c:v>
              </c:pt>
            </c:strLit>
          </c:cat>
          <c:val>
            <c:numLit>
              <c:formatCode>General</c:formatCode>
              <c:ptCount val="17"/>
              <c:pt idx="0">
                <c:v>19</c:v>
              </c:pt>
              <c:pt idx="1">
                <c:v>23</c:v>
              </c:pt>
              <c:pt idx="2">
                <c:v>25</c:v>
              </c:pt>
              <c:pt idx="3">
                <c:v>14</c:v>
              </c:pt>
              <c:pt idx="4">
                <c:v>21</c:v>
              </c:pt>
              <c:pt idx="5">
                <c:v>15</c:v>
              </c:pt>
              <c:pt idx="6">
                <c:v>18</c:v>
              </c:pt>
              <c:pt idx="7">
                <c:v>26</c:v>
              </c:pt>
              <c:pt idx="8">
                <c:v>16</c:v>
              </c:pt>
              <c:pt idx="9">
                <c:v>27</c:v>
              </c:pt>
              <c:pt idx="10">
                <c:v>22</c:v>
              </c:pt>
              <c:pt idx="11">
                <c:v>24</c:v>
              </c:pt>
              <c:pt idx="12">
                <c:v>11</c:v>
              </c:pt>
              <c:pt idx="13">
                <c:v>13</c:v>
              </c:pt>
              <c:pt idx="14">
                <c:v>20</c:v>
              </c:pt>
              <c:pt idx="15">
                <c:v>12</c:v>
              </c:pt>
              <c:pt idx="16">
                <c:v>17</c:v>
              </c:pt>
            </c:numLit>
          </c:val>
          <c:extLst>
            <c:ext xmlns:c16="http://schemas.microsoft.com/office/drawing/2014/chart" uri="{C3380CC4-5D6E-409C-BE32-E72D297353CC}">
              <c16:uniqueId val="{00000000-2F6B-41F9-9322-E1113E175FA2}"/>
            </c:ext>
          </c:extLst>
        </c:ser>
        <c:dLbls>
          <c:showLegendKey val="0"/>
          <c:showVal val="0"/>
          <c:showCatName val="0"/>
          <c:showSerName val="0"/>
          <c:showPercent val="0"/>
          <c:showBubbleSize val="0"/>
        </c:dLbls>
        <c:gapWidth val="150"/>
        <c:shape val="box"/>
        <c:axId val="2015007232"/>
        <c:axId val="1901195856"/>
        <c:axId val="0"/>
      </c:bar3DChart>
      <c:catAx>
        <c:axId val="201500723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1195856"/>
        <c:crosses val="autoZero"/>
        <c:auto val="1"/>
        <c:lblAlgn val="ctr"/>
        <c:lblOffset val="100"/>
        <c:noMultiLvlLbl val="0"/>
      </c:catAx>
      <c:valAx>
        <c:axId val="1901195856"/>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rank</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500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4.2487446890691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999999999999895E-2"/>
              <c:y val="4.3967968662086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8888888888888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45"/>
              <c:y val="1.544998068752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6E-2"/>
              <c:y val="6.9524913093858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4.2487446890691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999999999999895E-2"/>
              <c:y val="4.3967968662086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6E-2"/>
              <c:y val="6.9524913093858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45"/>
              <c:y val="1.544998068752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8888888888888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4.2487446890691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999999999999895E-2"/>
              <c:y val="4.3967968662086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6E-2"/>
              <c:y val="6.9524913093858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45"/>
              <c:y val="1.544998068752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8888888888888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 </c:separator>
          <c:extLst>
            <c:ext xmlns:c15="http://schemas.microsoft.com/office/drawing/2012/chart" uri="{CE6537A1-D6FC-4f65-9D91-7224C49458BB}"/>
          </c:extLst>
        </c:dLbl>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7C8-49CB-ACA9-83E7A20C2E0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7C8-49CB-ACA9-83E7A20C2E0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7C8-49CB-ACA9-83E7A20C2E0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7C8-49CB-ACA9-83E7A20C2E0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7C8-49CB-ACA9-83E7A20C2E0E}"/>
              </c:ext>
            </c:extLst>
          </c:dPt>
          <c:dLbls>
            <c:dLbl>
              <c:idx val="0"/>
              <c:layout>
                <c:manualLayout>
                  <c:x val="0.11666666666666667"/>
                  <c:y val="-4.2487446890691387E-2"/>
                </c:manualLayout>
              </c:layout>
              <c:showLegendKey val="1"/>
              <c:showVal val="0"/>
              <c:showCatName val="1"/>
              <c:showSerName val="0"/>
              <c:showPercent val="1"/>
              <c:showBubbleSize val="0"/>
              <c:separator> , </c:separator>
              <c:extLst>
                <c:ext xmlns:c15="http://schemas.microsoft.com/office/drawing/2012/chart" uri="{CE6537A1-D6FC-4f65-9D91-7224C49458BB}"/>
                <c:ext xmlns:c16="http://schemas.microsoft.com/office/drawing/2014/chart" uri="{C3380CC4-5D6E-409C-BE32-E72D297353CC}">
                  <c16:uniqueId val="{00000001-47C8-49CB-ACA9-83E7A20C2E0E}"/>
                </c:ext>
              </c:extLst>
            </c:dLbl>
            <c:dLbl>
              <c:idx val="1"/>
              <c:layout>
                <c:manualLayout>
                  <c:x val="9.9999999999999895E-2"/>
                  <c:y val="4.3967968662086417E-2"/>
                </c:manualLayout>
              </c:layout>
              <c:showLegendKey val="1"/>
              <c:showVal val="0"/>
              <c:showCatName val="1"/>
              <c:showSerName val="0"/>
              <c:showPercent val="1"/>
              <c:showBubbleSize val="0"/>
              <c:separator> , </c:separator>
              <c:extLst>
                <c:ext xmlns:c15="http://schemas.microsoft.com/office/drawing/2012/chart" uri="{CE6537A1-D6FC-4f65-9D91-7224C49458BB}"/>
                <c:ext xmlns:c16="http://schemas.microsoft.com/office/drawing/2014/chart" uri="{C3380CC4-5D6E-409C-BE32-E72D297353CC}">
                  <c16:uniqueId val="{00000003-47C8-49CB-ACA9-83E7A20C2E0E}"/>
                </c:ext>
              </c:extLst>
            </c:dLbl>
            <c:dLbl>
              <c:idx val="2"/>
              <c:layout>
                <c:manualLayout>
                  <c:x val="2.7777777777777776E-2"/>
                  <c:y val="6.9524913093858484E-2"/>
                </c:manualLayout>
              </c:layout>
              <c:showLegendKey val="1"/>
              <c:showVal val="0"/>
              <c:showCatName val="1"/>
              <c:showSerName val="0"/>
              <c:showPercent val="1"/>
              <c:showBubbleSize val="0"/>
              <c:separator> , </c:separator>
              <c:extLst>
                <c:ext xmlns:c15="http://schemas.microsoft.com/office/drawing/2012/chart" uri="{CE6537A1-D6FC-4f65-9D91-7224C49458BB}"/>
                <c:ext xmlns:c16="http://schemas.microsoft.com/office/drawing/2014/chart" uri="{C3380CC4-5D6E-409C-BE32-E72D297353CC}">
                  <c16:uniqueId val="{00000005-47C8-49CB-ACA9-83E7A20C2E0E}"/>
                </c:ext>
              </c:extLst>
            </c:dLbl>
            <c:dLbl>
              <c:idx val="3"/>
              <c:layout>
                <c:manualLayout>
                  <c:x val="-0.11944444444444445"/>
                  <c:y val="1.544998068752414E-2"/>
                </c:manualLayout>
              </c:layout>
              <c:showLegendKey val="1"/>
              <c:showVal val="0"/>
              <c:showCatName val="1"/>
              <c:showSerName val="0"/>
              <c:showPercent val="1"/>
              <c:showBubbleSize val="0"/>
              <c:separator> , </c:separator>
              <c:extLst>
                <c:ext xmlns:c15="http://schemas.microsoft.com/office/drawing/2012/chart" uri="{CE6537A1-D6FC-4f65-9D91-7224C49458BB}"/>
                <c:ext xmlns:c16="http://schemas.microsoft.com/office/drawing/2014/chart" uri="{C3380CC4-5D6E-409C-BE32-E72D297353CC}">
                  <c16:uniqueId val="{00000007-47C8-49CB-ACA9-83E7A20C2E0E}"/>
                </c:ext>
              </c:extLst>
            </c:dLbl>
            <c:dLbl>
              <c:idx val="4"/>
              <c:layout>
                <c:manualLayout>
                  <c:x val="-0.11388888888888889"/>
                  <c:y val="-4.1666666666666664E-2"/>
                </c:manualLayout>
              </c:layout>
              <c:showLegendKey val="1"/>
              <c:showVal val="0"/>
              <c:showCatName val="1"/>
              <c:showSerName val="0"/>
              <c:showPercent val="1"/>
              <c:showBubbleSize val="0"/>
              <c:separator> , </c:separator>
              <c:extLst>
                <c:ext xmlns:c15="http://schemas.microsoft.com/office/drawing/2012/chart" uri="{CE6537A1-D6FC-4f65-9D91-7224C49458BB}"/>
                <c:ext xmlns:c16="http://schemas.microsoft.com/office/drawing/2014/chart" uri="{C3380CC4-5D6E-409C-BE32-E72D297353CC}">
                  <c16:uniqueId val="{00000009-47C8-49CB-ACA9-83E7A20C2E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howLeaderLines val="0"/>
            <c:extLst>
              <c:ext xmlns:c15="http://schemas.microsoft.com/office/drawing/2012/chart" uri="{CE6537A1-D6FC-4f65-9D91-7224C49458BB}"/>
            </c:extLst>
          </c:dLbls>
          <c:cat>
            <c:strLit>
              <c:ptCount val="5"/>
              <c:pt idx="0">
                <c:v>Central</c:v>
              </c:pt>
              <c:pt idx="1">
                <c:v>East</c:v>
              </c:pt>
              <c:pt idx="2">
                <c:v>North</c:v>
              </c:pt>
              <c:pt idx="3">
                <c:v>South</c:v>
              </c:pt>
              <c:pt idx="4">
                <c:v>West</c:v>
              </c:pt>
            </c:strLit>
          </c:cat>
          <c:val>
            <c:numLit>
              <c:formatCode>General</c:formatCode>
              <c:ptCount val="5"/>
              <c:pt idx="0">
                <c:v>43468.33</c:v>
              </c:pt>
              <c:pt idx="1">
                <c:v>32441.64</c:v>
              </c:pt>
              <c:pt idx="2">
                <c:v>34975.42</c:v>
              </c:pt>
              <c:pt idx="3">
                <c:v>40248.79</c:v>
              </c:pt>
              <c:pt idx="4">
                <c:v>44083.58</c:v>
              </c:pt>
            </c:numLit>
          </c:val>
          <c:extLst>
            <c:ext xmlns:c16="http://schemas.microsoft.com/office/drawing/2014/chart" uri="{C3380CC4-5D6E-409C-BE32-E72D297353CC}">
              <c16:uniqueId val="{0000000A-47C8-49CB-ACA9-83E7A20C2E0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extLst>
                <c:ext xmlns:c15="http://schemas.microsoft.com/office/drawing/2012/chart" uri="{02D57815-91ED-43cb-92C2-25804820EDAC}">
                  <c15:fullRef>
                    <c15:sqref>CustomerSummary!$A$2:$B$28</c15:sqref>
                  </c15:fullRef>
                  <c15:levelRef>
                    <c15:sqref>CustomerSummary!$A$2:$A$28</c15:sqref>
                  </c15:levelRef>
                </c:ext>
              </c:extLst>
              <c:f>CustomerSummary!$A$2:$A$28</c:f>
              <c:strCache>
                <c:ptCount val="27"/>
                <c:pt idx="0">
                  <c:v>CUST004</c:v>
                </c:pt>
                <c:pt idx="1">
                  <c:v>CUST021</c:v>
                </c:pt>
                <c:pt idx="2">
                  <c:v>CUST015</c:v>
                </c:pt>
                <c:pt idx="3">
                  <c:v>CUST014</c:v>
                </c:pt>
                <c:pt idx="4">
                  <c:v>CUST009</c:v>
                </c:pt>
                <c:pt idx="5">
                  <c:v>CUST010</c:v>
                </c:pt>
                <c:pt idx="6">
                  <c:v>CUST020</c:v>
                </c:pt>
                <c:pt idx="7">
                  <c:v>CUST011</c:v>
                </c:pt>
                <c:pt idx="8">
                  <c:v>CUST019</c:v>
                </c:pt>
                <c:pt idx="9">
                  <c:v>CUST017</c:v>
                </c:pt>
                <c:pt idx="10">
                  <c:v>CUST005</c:v>
                </c:pt>
                <c:pt idx="11">
                  <c:v>CUST028</c:v>
                </c:pt>
                <c:pt idx="12">
                  <c:v>CUST022</c:v>
                </c:pt>
                <c:pt idx="13">
                  <c:v>CUST002</c:v>
                </c:pt>
                <c:pt idx="14">
                  <c:v>CUST026</c:v>
                </c:pt>
                <c:pt idx="15">
                  <c:v>CUST024</c:v>
                </c:pt>
                <c:pt idx="16">
                  <c:v>CUST025</c:v>
                </c:pt>
                <c:pt idx="17">
                  <c:v>CUST007</c:v>
                </c:pt>
                <c:pt idx="18">
                  <c:v>CUST006</c:v>
                </c:pt>
                <c:pt idx="19">
                  <c:v>CUST029</c:v>
                </c:pt>
                <c:pt idx="20">
                  <c:v>CUST001</c:v>
                </c:pt>
                <c:pt idx="21">
                  <c:v>CUST008</c:v>
                </c:pt>
                <c:pt idx="22">
                  <c:v>CUST016</c:v>
                </c:pt>
                <c:pt idx="23">
                  <c:v>CUST030</c:v>
                </c:pt>
                <c:pt idx="24">
                  <c:v>CUST012</c:v>
                </c:pt>
                <c:pt idx="25">
                  <c:v>CUST023</c:v>
                </c:pt>
                <c:pt idx="26">
                  <c:v>CUST003</c:v>
                </c:pt>
              </c:strCache>
            </c:strRef>
          </c:cat>
          <c:val>
            <c:numRef>
              <c:f>CustomerSummary!$C$2:$C$28</c:f>
              <c:numCache>
                <c:formatCode>\$#,##0.00</c:formatCode>
                <c:ptCount val="27"/>
                <c:pt idx="0">
                  <c:v>5465.71</c:v>
                </c:pt>
                <c:pt idx="1">
                  <c:v>11915.829999999998</c:v>
                </c:pt>
                <c:pt idx="2">
                  <c:v>3819.1400000000003</c:v>
                </c:pt>
                <c:pt idx="3">
                  <c:v>1672.88</c:v>
                </c:pt>
                <c:pt idx="4">
                  <c:v>7020.3799999999992</c:v>
                </c:pt>
                <c:pt idx="5">
                  <c:v>11398.32</c:v>
                </c:pt>
                <c:pt idx="6">
                  <c:v>5014.96</c:v>
                </c:pt>
                <c:pt idx="7">
                  <c:v>8543.9699999999993</c:v>
                </c:pt>
                <c:pt idx="8">
                  <c:v>6255.7</c:v>
                </c:pt>
                <c:pt idx="9">
                  <c:v>5615.2800000000007</c:v>
                </c:pt>
                <c:pt idx="10">
                  <c:v>20774.739999999998</c:v>
                </c:pt>
                <c:pt idx="11">
                  <c:v>1450.99</c:v>
                </c:pt>
                <c:pt idx="12">
                  <c:v>5801.29</c:v>
                </c:pt>
                <c:pt idx="13">
                  <c:v>856.7</c:v>
                </c:pt>
                <c:pt idx="14">
                  <c:v>3968.59</c:v>
                </c:pt>
                <c:pt idx="15">
                  <c:v>2304.9</c:v>
                </c:pt>
                <c:pt idx="16">
                  <c:v>7522.77</c:v>
                </c:pt>
                <c:pt idx="17">
                  <c:v>9970.1999999999989</c:v>
                </c:pt>
                <c:pt idx="18">
                  <c:v>8090.12</c:v>
                </c:pt>
                <c:pt idx="19">
                  <c:v>8635.9500000000007</c:v>
                </c:pt>
                <c:pt idx="20">
                  <c:v>17143.289999999997</c:v>
                </c:pt>
                <c:pt idx="21">
                  <c:v>7251.18</c:v>
                </c:pt>
                <c:pt idx="22">
                  <c:v>5443.34</c:v>
                </c:pt>
                <c:pt idx="23">
                  <c:v>7881.9</c:v>
                </c:pt>
                <c:pt idx="24">
                  <c:v>8331.8499999999985</c:v>
                </c:pt>
                <c:pt idx="25">
                  <c:v>7296.1900000000005</c:v>
                </c:pt>
                <c:pt idx="26">
                  <c:v>5771.59</c:v>
                </c:pt>
              </c:numCache>
            </c:numRef>
          </c:val>
          <c:extLst>
            <c:ext xmlns:c16="http://schemas.microsoft.com/office/drawing/2014/chart" uri="{C3380CC4-5D6E-409C-BE32-E72D297353CC}">
              <c16:uniqueId val="{00000000-BA55-4644-A513-66A2559130DB}"/>
            </c:ext>
          </c:extLst>
        </c:ser>
        <c:ser>
          <c:idx val="1"/>
          <c:order val="1"/>
          <c:spPr>
            <a:solidFill>
              <a:schemeClr val="accent2"/>
            </a:solidFill>
            <a:ln>
              <a:noFill/>
            </a:ln>
            <a:effectLst/>
          </c:spPr>
          <c:invertIfNegative val="0"/>
          <c:cat>
            <c:strRef>
              <c:extLst>
                <c:ext xmlns:c15="http://schemas.microsoft.com/office/drawing/2012/chart" uri="{02D57815-91ED-43cb-92C2-25804820EDAC}">
                  <c15:fullRef>
                    <c15:sqref>CustomerSummary!$A$2:$B$28</c15:sqref>
                  </c15:fullRef>
                  <c15:levelRef>
                    <c15:sqref>CustomerSummary!$A$2:$A$28</c15:sqref>
                  </c15:levelRef>
                </c:ext>
              </c:extLst>
              <c:f>CustomerSummary!$A$2:$A$28</c:f>
              <c:strCache>
                <c:ptCount val="27"/>
                <c:pt idx="0">
                  <c:v>CUST004</c:v>
                </c:pt>
                <c:pt idx="1">
                  <c:v>CUST021</c:v>
                </c:pt>
                <c:pt idx="2">
                  <c:v>CUST015</c:v>
                </c:pt>
                <c:pt idx="3">
                  <c:v>CUST014</c:v>
                </c:pt>
                <c:pt idx="4">
                  <c:v>CUST009</c:v>
                </c:pt>
                <c:pt idx="5">
                  <c:v>CUST010</c:v>
                </c:pt>
                <c:pt idx="6">
                  <c:v>CUST020</c:v>
                </c:pt>
                <c:pt idx="7">
                  <c:v>CUST011</c:v>
                </c:pt>
                <c:pt idx="8">
                  <c:v>CUST019</c:v>
                </c:pt>
                <c:pt idx="9">
                  <c:v>CUST017</c:v>
                </c:pt>
                <c:pt idx="10">
                  <c:v>CUST005</c:v>
                </c:pt>
                <c:pt idx="11">
                  <c:v>CUST028</c:v>
                </c:pt>
                <c:pt idx="12">
                  <c:v>CUST022</c:v>
                </c:pt>
                <c:pt idx="13">
                  <c:v>CUST002</c:v>
                </c:pt>
                <c:pt idx="14">
                  <c:v>CUST026</c:v>
                </c:pt>
                <c:pt idx="15">
                  <c:v>CUST024</c:v>
                </c:pt>
                <c:pt idx="16">
                  <c:v>CUST025</c:v>
                </c:pt>
                <c:pt idx="17">
                  <c:v>CUST007</c:v>
                </c:pt>
                <c:pt idx="18">
                  <c:v>CUST006</c:v>
                </c:pt>
                <c:pt idx="19">
                  <c:v>CUST029</c:v>
                </c:pt>
                <c:pt idx="20">
                  <c:v>CUST001</c:v>
                </c:pt>
                <c:pt idx="21">
                  <c:v>CUST008</c:v>
                </c:pt>
                <c:pt idx="22">
                  <c:v>CUST016</c:v>
                </c:pt>
                <c:pt idx="23">
                  <c:v>CUST030</c:v>
                </c:pt>
                <c:pt idx="24">
                  <c:v>CUST012</c:v>
                </c:pt>
                <c:pt idx="25">
                  <c:v>CUST023</c:v>
                </c:pt>
                <c:pt idx="26">
                  <c:v>CUST003</c:v>
                </c:pt>
              </c:strCache>
            </c:strRef>
          </c:cat>
          <c:val>
            <c:numRef>
              <c:f>CustomerSummary!$D$2:$D$28</c:f>
              <c:numCache>
                <c:formatCode>\$#,##0.00</c:formatCode>
                <c:ptCount val="27"/>
                <c:pt idx="0">
                  <c:v>1937.8500000000001</c:v>
                </c:pt>
                <c:pt idx="1">
                  <c:v>4061.91</c:v>
                </c:pt>
                <c:pt idx="2">
                  <c:v>1273.1899999999998</c:v>
                </c:pt>
                <c:pt idx="3">
                  <c:v>569.64</c:v>
                </c:pt>
                <c:pt idx="4">
                  <c:v>2919.45</c:v>
                </c:pt>
                <c:pt idx="5">
                  <c:v>3846.93</c:v>
                </c:pt>
                <c:pt idx="6">
                  <c:v>1909.5700000000002</c:v>
                </c:pt>
                <c:pt idx="7">
                  <c:v>2718.8399999999997</c:v>
                </c:pt>
                <c:pt idx="8">
                  <c:v>2122.8200000000002</c:v>
                </c:pt>
                <c:pt idx="9">
                  <c:v>2203.6800000000003</c:v>
                </c:pt>
                <c:pt idx="10">
                  <c:v>7077.9199999999992</c:v>
                </c:pt>
                <c:pt idx="11">
                  <c:v>410.91999999999996</c:v>
                </c:pt>
                <c:pt idx="12">
                  <c:v>1885.71</c:v>
                </c:pt>
                <c:pt idx="13">
                  <c:v>214.18</c:v>
                </c:pt>
                <c:pt idx="14">
                  <c:v>1386.78</c:v>
                </c:pt>
                <c:pt idx="15">
                  <c:v>1020.72</c:v>
                </c:pt>
                <c:pt idx="16">
                  <c:v>2912.54</c:v>
                </c:pt>
                <c:pt idx="17">
                  <c:v>3241.1099999999997</c:v>
                </c:pt>
                <c:pt idx="18">
                  <c:v>2918.14</c:v>
                </c:pt>
                <c:pt idx="19">
                  <c:v>3074.45</c:v>
                </c:pt>
                <c:pt idx="20">
                  <c:v>6553.7899999999991</c:v>
                </c:pt>
                <c:pt idx="21">
                  <c:v>2339.64</c:v>
                </c:pt>
                <c:pt idx="22">
                  <c:v>2285.64</c:v>
                </c:pt>
                <c:pt idx="23">
                  <c:v>2535.5100000000002</c:v>
                </c:pt>
                <c:pt idx="24">
                  <c:v>2765.53</c:v>
                </c:pt>
                <c:pt idx="25">
                  <c:v>2060.81</c:v>
                </c:pt>
                <c:pt idx="26">
                  <c:v>2039.74</c:v>
                </c:pt>
              </c:numCache>
            </c:numRef>
          </c:val>
          <c:extLst>
            <c:ext xmlns:c16="http://schemas.microsoft.com/office/drawing/2014/chart" uri="{C3380CC4-5D6E-409C-BE32-E72D297353CC}">
              <c16:uniqueId val="{00000001-BA55-4644-A513-66A2559130DB}"/>
            </c:ext>
          </c:extLst>
        </c:ser>
        <c:ser>
          <c:idx val="2"/>
          <c:order val="2"/>
          <c:spPr>
            <a:solidFill>
              <a:schemeClr val="accent3"/>
            </a:solidFill>
            <a:ln>
              <a:noFill/>
            </a:ln>
            <a:effectLst/>
          </c:spPr>
          <c:invertIfNegative val="0"/>
          <c:cat>
            <c:strRef>
              <c:extLst>
                <c:ext xmlns:c15="http://schemas.microsoft.com/office/drawing/2012/chart" uri="{02D57815-91ED-43cb-92C2-25804820EDAC}">
                  <c15:fullRef>
                    <c15:sqref>CustomerSummary!$A$2:$B$28</c15:sqref>
                  </c15:fullRef>
                  <c15:levelRef>
                    <c15:sqref>CustomerSummary!$A$2:$A$28</c15:sqref>
                  </c15:levelRef>
                </c:ext>
              </c:extLst>
              <c:f>CustomerSummary!$A$2:$A$28</c:f>
              <c:strCache>
                <c:ptCount val="27"/>
                <c:pt idx="0">
                  <c:v>CUST004</c:v>
                </c:pt>
                <c:pt idx="1">
                  <c:v>CUST021</c:v>
                </c:pt>
                <c:pt idx="2">
                  <c:v>CUST015</c:v>
                </c:pt>
                <c:pt idx="3">
                  <c:v>CUST014</c:v>
                </c:pt>
                <c:pt idx="4">
                  <c:v>CUST009</c:v>
                </c:pt>
                <c:pt idx="5">
                  <c:v>CUST010</c:v>
                </c:pt>
                <c:pt idx="6">
                  <c:v>CUST020</c:v>
                </c:pt>
                <c:pt idx="7">
                  <c:v>CUST011</c:v>
                </c:pt>
                <c:pt idx="8">
                  <c:v>CUST019</c:v>
                </c:pt>
                <c:pt idx="9">
                  <c:v>CUST017</c:v>
                </c:pt>
                <c:pt idx="10">
                  <c:v>CUST005</c:v>
                </c:pt>
                <c:pt idx="11">
                  <c:v>CUST028</c:v>
                </c:pt>
                <c:pt idx="12">
                  <c:v>CUST022</c:v>
                </c:pt>
                <c:pt idx="13">
                  <c:v>CUST002</c:v>
                </c:pt>
                <c:pt idx="14">
                  <c:v>CUST026</c:v>
                </c:pt>
                <c:pt idx="15">
                  <c:v>CUST024</c:v>
                </c:pt>
                <c:pt idx="16">
                  <c:v>CUST025</c:v>
                </c:pt>
                <c:pt idx="17">
                  <c:v>CUST007</c:v>
                </c:pt>
                <c:pt idx="18">
                  <c:v>CUST006</c:v>
                </c:pt>
                <c:pt idx="19">
                  <c:v>CUST029</c:v>
                </c:pt>
                <c:pt idx="20">
                  <c:v>CUST001</c:v>
                </c:pt>
                <c:pt idx="21">
                  <c:v>CUST008</c:v>
                </c:pt>
                <c:pt idx="22">
                  <c:v>CUST016</c:v>
                </c:pt>
                <c:pt idx="23">
                  <c:v>CUST030</c:v>
                </c:pt>
                <c:pt idx="24">
                  <c:v>CUST012</c:v>
                </c:pt>
                <c:pt idx="25">
                  <c:v>CUST023</c:v>
                </c:pt>
                <c:pt idx="26">
                  <c:v>CUST003</c:v>
                </c:pt>
              </c:strCache>
            </c:strRef>
          </c:cat>
          <c:val>
            <c:numRef>
              <c:f>CustomerSummary!$E$2:$E$28</c:f>
              <c:numCache>
                <c:formatCode>General</c:formatCode>
                <c:ptCount val="27"/>
                <c:pt idx="0">
                  <c:v>6</c:v>
                </c:pt>
                <c:pt idx="1">
                  <c:v>13</c:v>
                </c:pt>
                <c:pt idx="2">
                  <c:v>4</c:v>
                </c:pt>
                <c:pt idx="3">
                  <c:v>2</c:v>
                </c:pt>
                <c:pt idx="4">
                  <c:v>7</c:v>
                </c:pt>
                <c:pt idx="5">
                  <c:v>12</c:v>
                </c:pt>
                <c:pt idx="6">
                  <c:v>5</c:v>
                </c:pt>
                <c:pt idx="7">
                  <c:v>8</c:v>
                </c:pt>
                <c:pt idx="8">
                  <c:v>6</c:v>
                </c:pt>
                <c:pt idx="9">
                  <c:v>6</c:v>
                </c:pt>
                <c:pt idx="10">
                  <c:v>20</c:v>
                </c:pt>
                <c:pt idx="11">
                  <c:v>2</c:v>
                </c:pt>
                <c:pt idx="12">
                  <c:v>5</c:v>
                </c:pt>
                <c:pt idx="13">
                  <c:v>1</c:v>
                </c:pt>
                <c:pt idx="14">
                  <c:v>4</c:v>
                </c:pt>
                <c:pt idx="15">
                  <c:v>3</c:v>
                </c:pt>
                <c:pt idx="16">
                  <c:v>7</c:v>
                </c:pt>
                <c:pt idx="17">
                  <c:v>9</c:v>
                </c:pt>
                <c:pt idx="18">
                  <c:v>9</c:v>
                </c:pt>
                <c:pt idx="19">
                  <c:v>10</c:v>
                </c:pt>
                <c:pt idx="20">
                  <c:v>17</c:v>
                </c:pt>
                <c:pt idx="21">
                  <c:v>6</c:v>
                </c:pt>
                <c:pt idx="22">
                  <c:v>6</c:v>
                </c:pt>
                <c:pt idx="23">
                  <c:v>8</c:v>
                </c:pt>
                <c:pt idx="24">
                  <c:v>10</c:v>
                </c:pt>
                <c:pt idx="25">
                  <c:v>8</c:v>
                </c:pt>
                <c:pt idx="26">
                  <c:v>6</c:v>
                </c:pt>
              </c:numCache>
            </c:numRef>
          </c:val>
          <c:extLst>
            <c:ext xmlns:c16="http://schemas.microsoft.com/office/drawing/2014/chart" uri="{C3380CC4-5D6E-409C-BE32-E72D297353CC}">
              <c16:uniqueId val="{00000002-BA55-4644-A513-66A2559130DB}"/>
            </c:ext>
          </c:extLst>
        </c:ser>
        <c:ser>
          <c:idx val="3"/>
          <c:order val="3"/>
          <c:spPr>
            <a:solidFill>
              <a:schemeClr val="accent4"/>
            </a:solidFill>
            <a:ln>
              <a:noFill/>
            </a:ln>
            <a:effectLst/>
          </c:spPr>
          <c:invertIfNegative val="0"/>
          <c:cat>
            <c:strRef>
              <c:extLst>
                <c:ext xmlns:c15="http://schemas.microsoft.com/office/drawing/2012/chart" uri="{02D57815-91ED-43cb-92C2-25804820EDAC}">
                  <c15:fullRef>
                    <c15:sqref>CustomerSummary!$A$2:$B$28</c15:sqref>
                  </c15:fullRef>
                  <c15:levelRef>
                    <c15:sqref>CustomerSummary!$A$2:$A$28</c15:sqref>
                  </c15:levelRef>
                </c:ext>
              </c:extLst>
              <c:f>CustomerSummary!$A$2:$A$28</c:f>
              <c:strCache>
                <c:ptCount val="27"/>
                <c:pt idx="0">
                  <c:v>CUST004</c:v>
                </c:pt>
                <c:pt idx="1">
                  <c:v>CUST021</c:v>
                </c:pt>
                <c:pt idx="2">
                  <c:v>CUST015</c:v>
                </c:pt>
                <c:pt idx="3">
                  <c:v>CUST014</c:v>
                </c:pt>
                <c:pt idx="4">
                  <c:v>CUST009</c:v>
                </c:pt>
                <c:pt idx="5">
                  <c:v>CUST010</c:v>
                </c:pt>
                <c:pt idx="6">
                  <c:v>CUST020</c:v>
                </c:pt>
                <c:pt idx="7">
                  <c:v>CUST011</c:v>
                </c:pt>
                <c:pt idx="8">
                  <c:v>CUST019</c:v>
                </c:pt>
                <c:pt idx="9">
                  <c:v>CUST017</c:v>
                </c:pt>
                <c:pt idx="10">
                  <c:v>CUST005</c:v>
                </c:pt>
                <c:pt idx="11">
                  <c:v>CUST028</c:v>
                </c:pt>
                <c:pt idx="12">
                  <c:v>CUST022</c:v>
                </c:pt>
                <c:pt idx="13">
                  <c:v>CUST002</c:v>
                </c:pt>
                <c:pt idx="14">
                  <c:v>CUST026</c:v>
                </c:pt>
                <c:pt idx="15">
                  <c:v>CUST024</c:v>
                </c:pt>
                <c:pt idx="16">
                  <c:v>CUST025</c:v>
                </c:pt>
                <c:pt idx="17">
                  <c:v>CUST007</c:v>
                </c:pt>
                <c:pt idx="18">
                  <c:v>CUST006</c:v>
                </c:pt>
                <c:pt idx="19">
                  <c:v>CUST029</c:v>
                </c:pt>
                <c:pt idx="20">
                  <c:v>CUST001</c:v>
                </c:pt>
                <c:pt idx="21">
                  <c:v>CUST008</c:v>
                </c:pt>
                <c:pt idx="22">
                  <c:v>CUST016</c:v>
                </c:pt>
                <c:pt idx="23">
                  <c:v>CUST030</c:v>
                </c:pt>
                <c:pt idx="24">
                  <c:v>CUST012</c:v>
                </c:pt>
                <c:pt idx="25">
                  <c:v>CUST023</c:v>
                </c:pt>
                <c:pt idx="26">
                  <c:v>CUST003</c:v>
                </c:pt>
              </c:strCache>
            </c:strRef>
          </c:cat>
          <c:val>
            <c:numRef>
              <c:f>CustomerSummary!$F$2:$F$28</c:f>
              <c:numCache>
                <c:formatCode>General</c:formatCode>
                <c:ptCount val="27"/>
                <c:pt idx="0">
                  <c:v>19</c:v>
                </c:pt>
                <c:pt idx="1">
                  <c:v>3</c:v>
                </c:pt>
                <c:pt idx="2">
                  <c:v>23</c:v>
                </c:pt>
                <c:pt idx="3">
                  <c:v>25</c:v>
                </c:pt>
                <c:pt idx="4">
                  <c:v>14</c:v>
                </c:pt>
                <c:pt idx="5">
                  <c:v>4</c:v>
                </c:pt>
                <c:pt idx="6">
                  <c:v>21</c:v>
                </c:pt>
                <c:pt idx="7">
                  <c:v>7</c:v>
                </c:pt>
                <c:pt idx="8">
                  <c:v>15</c:v>
                </c:pt>
                <c:pt idx="9">
                  <c:v>18</c:v>
                </c:pt>
                <c:pt idx="10">
                  <c:v>1</c:v>
                </c:pt>
                <c:pt idx="11">
                  <c:v>26</c:v>
                </c:pt>
                <c:pt idx="12">
                  <c:v>16</c:v>
                </c:pt>
                <c:pt idx="13">
                  <c:v>27</c:v>
                </c:pt>
                <c:pt idx="14">
                  <c:v>22</c:v>
                </c:pt>
                <c:pt idx="15">
                  <c:v>24</c:v>
                </c:pt>
                <c:pt idx="16">
                  <c:v>11</c:v>
                </c:pt>
                <c:pt idx="17">
                  <c:v>5</c:v>
                </c:pt>
                <c:pt idx="18">
                  <c:v>9</c:v>
                </c:pt>
                <c:pt idx="19">
                  <c:v>6</c:v>
                </c:pt>
                <c:pt idx="20">
                  <c:v>2</c:v>
                </c:pt>
                <c:pt idx="21">
                  <c:v>13</c:v>
                </c:pt>
                <c:pt idx="22">
                  <c:v>20</c:v>
                </c:pt>
                <c:pt idx="23">
                  <c:v>10</c:v>
                </c:pt>
                <c:pt idx="24">
                  <c:v>8</c:v>
                </c:pt>
                <c:pt idx="25">
                  <c:v>12</c:v>
                </c:pt>
                <c:pt idx="26">
                  <c:v>17</c:v>
                </c:pt>
              </c:numCache>
            </c:numRef>
          </c:val>
          <c:extLst>
            <c:ext xmlns:c16="http://schemas.microsoft.com/office/drawing/2014/chart" uri="{C3380CC4-5D6E-409C-BE32-E72D297353CC}">
              <c16:uniqueId val="{00000003-BA55-4644-A513-66A2559130DB}"/>
            </c:ext>
          </c:extLst>
        </c:ser>
        <c:ser>
          <c:idx val="4"/>
          <c:order val="4"/>
          <c:spPr>
            <a:solidFill>
              <a:schemeClr val="accent5"/>
            </a:solidFill>
            <a:ln>
              <a:noFill/>
            </a:ln>
            <a:effectLst/>
          </c:spPr>
          <c:invertIfNegative val="0"/>
          <c:cat>
            <c:strRef>
              <c:extLst>
                <c:ext xmlns:c15="http://schemas.microsoft.com/office/drawing/2012/chart" uri="{02D57815-91ED-43cb-92C2-25804820EDAC}">
                  <c15:fullRef>
                    <c15:sqref>CustomerSummary!$A$2:$B$28</c15:sqref>
                  </c15:fullRef>
                  <c15:levelRef>
                    <c15:sqref>CustomerSummary!$A$2:$A$28</c15:sqref>
                  </c15:levelRef>
                </c:ext>
              </c:extLst>
              <c:f>CustomerSummary!$A$2:$A$28</c:f>
              <c:strCache>
                <c:ptCount val="27"/>
                <c:pt idx="0">
                  <c:v>CUST004</c:v>
                </c:pt>
                <c:pt idx="1">
                  <c:v>CUST021</c:v>
                </c:pt>
                <c:pt idx="2">
                  <c:v>CUST015</c:v>
                </c:pt>
                <c:pt idx="3">
                  <c:v>CUST014</c:v>
                </c:pt>
                <c:pt idx="4">
                  <c:v>CUST009</c:v>
                </c:pt>
                <c:pt idx="5">
                  <c:v>CUST010</c:v>
                </c:pt>
                <c:pt idx="6">
                  <c:v>CUST020</c:v>
                </c:pt>
                <c:pt idx="7">
                  <c:v>CUST011</c:v>
                </c:pt>
                <c:pt idx="8">
                  <c:v>CUST019</c:v>
                </c:pt>
                <c:pt idx="9">
                  <c:v>CUST017</c:v>
                </c:pt>
                <c:pt idx="10">
                  <c:v>CUST005</c:v>
                </c:pt>
                <c:pt idx="11">
                  <c:v>CUST028</c:v>
                </c:pt>
                <c:pt idx="12">
                  <c:v>CUST022</c:v>
                </c:pt>
                <c:pt idx="13">
                  <c:v>CUST002</c:v>
                </c:pt>
                <c:pt idx="14">
                  <c:v>CUST026</c:v>
                </c:pt>
                <c:pt idx="15">
                  <c:v>CUST024</c:v>
                </c:pt>
                <c:pt idx="16">
                  <c:v>CUST025</c:v>
                </c:pt>
                <c:pt idx="17">
                  <c:v>CUST007</c:v>
                </c:pt>
                <c:pt idx="18">
                  <c:v>CUST006</c:v>
                </c:pt>
                <c:pt idx="19">
                  <c:v>CUST029</c:v>
                </c:pt>
                <c:pt idx="20">
                  <c:v>CUST001</c:v>
                </c:pt>
                <c:pt idx="21">
                  <c:v>CUST008</c:v>
                </c:pt>
                <c:pt idx="22">
                  <c:v>CUST016</c:v>
                </c:pt>
                <c:pt idx="23">
                  <c:v>CUST030</c:v>
                </c:pt>
                <c:pt idx="24">
                  <c:v>CUST012</c:v>
                </c:pt>
                <c:pt idx="25">
                  <c:v>CUST023</c:v>
                </c:pt>
                <c:pt idx="26">
                  <c:v>CUST003</c:v>
                </c:pt>
              </c:strCache>
            </c:strRef>
          </c:cat>
          <c:val>
            <c:numRef>
              <c:f>CustomerSummary!$G$2:$G$28</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extLst>
            <c:ext xmlns:c16="http://schemas.microsoft.com/office/drawing/2014/chart" uri="{C3380CC4-5D6E-409C-BE32-E72D297353CC}">
              <c16:uniqueId val="{00000004-BA55-4644-A513-66A2559130DB}"/>
            </c:ext>
          </c:extLst>
        </c:ser>
        <c:dLbls>
          <c:showLegendKey val="0"/>
          <c:showVal val="0"/>
          <c:showCatName val="0"/>
          <c:showSerName val="0"/>
          <c:showPercent val="0"/>
          <c:showBubbleSize val="0"/>
        </c:dLbls>
        <c:gapWidth val="150"/>
        <c:overlap val="100"/>
        <c:axId val="994025743"/>
        <c:axId val="1171876175"/>
      </c:barChart>
      <c:catAx>
        <c:axId val="99402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76175"/>
        <c:crosses val="autoZero"/>
        <c:auto val="1"/>
        <c:lblAlgn val="ctr"/>
        <c:lblOffset val="100"/>
        <c:noMultiLvlLbl val="0"/>
      </c:catAx>
      <c:valAx>
        <c:axId val="1171876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025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6136482939632548E-2"/>
          <c:y val="0.19486111111111112"/>
          <c:w val="0.86497462817147852"/>
          <c:h val="0.61959536307961505"/>
        </c:manualLayout>
      </c:layout>
      <c:lineChart>
        <c:grouping val="standard"/>
        <c:varyColors val="0"/>
        <c:ser>
          <c:idx val="0"/>
          <c:order val="0"/>
          <c:tx>
            <c:strRef>
              <c:f>MonthlySales!$B$4</c:f>
              <c:strCache>
                <c:ptCount val="1"/>
                <c:pt idx="0">
                  <c:v>Total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elete val="1"/>
          </c:dLbls>
          <c:cat>
            <c:numRef>
              <c:f>MonthlySales!$A$5:$A$17</c:f>
              <c:numCache>
                <c:formatCode>mmm\-yyyy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MonthlySales!$B$5:$B$17</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AA61-4DC2-A103-C470F577BB04}"/>
            </c:ext>
          </c:extLst>
        </c:ser>
        <c:dLbls>
          <c:dLblPos val="ctr"/>
          <c:showLegendKey val="0"/>
          <c:showVal val="1"/>
          <c:showCatName val="0"/>
          <c:showSerName val="0"/>
          <c:showPercent val="0"/>
          <c:showBubbleSize val="0"/>
        </c:dLbls>
        <c:smooth val="0"/>
        <c:axId val="664156639"/>
        <c:axId val="1156458799"/>
      </c:lineChart>
      <c:dateAx>
        <c:axId val="664156639"/>
        <c:scaling>
          <c:orientation val="minMax"/>
        </c:scaling>
        <c:delete val="0"/>
        <c:axPos val="b"/>
        <c:numFmt formatCode="mmm\-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458799"/>
        <c:crosses val="autoZero"/>
        <c:auto val="1"/>
        <c:lblOffset val="100"/>
        <c:baseTimeUnit val="months"/>
      </c:dateAx>
      <c:valAx>
        <c:axId val="1156458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415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DescriptiveStats!$B$1:$B$2</c:f>
              <c:strCache>
                <c:ptCount val="2"/>
                <c:pt idx="0">
                  <c:v>DESCRIPTIVE STATISTICS</c:v>
                </c:pt>
                <c:pt idx="1">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A0-4FDE-B3F6-F8748D4933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A0-4FDE-B3F6-F8748D4933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A0-4FDE-B3F6-F8748D4933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A0-4FDE-B3F6-F8748D4933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A0-4FDE-B3F6-F8748D4933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A0-4FDE-B3F6-F8748D4933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BA0-4FDE-B3F6-F8748D4933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BA0-4FDE-B3F6-F8748D4933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BA0-4FDE-B3F6-F8748D49332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BA0-4FDE-B3F6-F8748D49332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BA0-4FDE-B3F6-F8748D49332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BA0-4FDE-B3F6-F8748D49332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BA0-4FDE-B3F6-F8748D493322}"/>
              </c:ext>
            </c:extLst>
          </c:dPt>
          <c:cat>
            <c:strRef>
              <c:f>DescriptiveStats!$A$3:$A$15</c:f>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f>DescriptiveStats!$B$3:$B$15</c:f>
              <c:numCache>
                <c:formatCode>General</c:formatCode>
                <c:ptCount val="13"/>
                <c:pt idx="0">
                  <c:v>975.78728643216039</c:v>
                </c:pt>
                <c:pt idx="1">
                  <c:v>21.266301032131288</c:v>
                </c:pt>
                <c:pt idx="2">
                  <c:v>973.26</c:v>
                </c:pt>
                <c:pt idx="3">
                  <c:v>#N/A</c:v>
                </c:pt>
                <c:pt idx="4">
                  <c:v>299.9980939243722</c:v>
                </c:pt>
                <c:pt idx="5">
                  <c:v>89998.856358256453</c:v>
                </c:pt>
                <c:pt idx="6">
                  <c:v>-0.10144708104707512</c:v>
                </c:pt>
                <c:pt idx="7">
                  <c:v>0.14954551654117604</c:v>
                </c:pt>
                <c:pt idx="8">
                  <c:v>1665.15</c:v>
                </c:pt>
                <c:pt idx="9">
                  <c:v>258.51</c:v>
                </c:pt>
                <c:pt idx="10">
                  <c:v>1923.66</c:v>
                </c:pt>
                <c:pt idx="11">
                  <c:v>194181.66999999993</c:v>
                </c:pt>
                <c:pt idx="12">
                  <c:v>199</c:v>
                </c:pt>
              </c:numCache>
            </c:numRef>
          </c:val>
          <c:extLst>
            <c:ext xmlns:c16="http://schemas.microsoft.com/office/drawing/2014/chart" uri="{C3380CC4-5D6E-409C-BE32-E72D297353CC}">
              <c16:uniqueId val="{00000000-9E07-41EA-A3F5-5122D1F39140}"/>
            </c:ext>
          </c:extLst>
        </c:ser>
        <c:ser>
          <c:idx val="1"/>
          <c:order val="1"/>
          <c:tx>
            <c:strRef>
              <c:f>DescriptiveStats!$C$1:$C$2</c:f>
              <c:strCache>
                <c:ptCount val="2"/>
                <c:pt idx="0">
                  <c:v>DESCRIPTIVE STATISTICS</c:v>
                </c:pt>
                <c:pt idx="1">
                  <c:v>Quantiy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7BA0-4FDE-B3F6-F8748D4933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7BA0-4FDE-B3F6-F8748D4933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7BA0-4FDE-B3F6-F8748D4933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7BA0-4FDE-B3F6-F8748D4933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7BA0-4FDE-B3F6-F8748D4933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7BA0-4FDE-B3F6-F8748D4933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7-7BA0-4FDE-B3F6-F8748D4933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9-7BA0-4FDE-B3F6-F8748D4933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B-7BA0-4FDE-B3F6-F8748D49332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D-7BA0-4FDE-B3F6-F8748D49332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F-7BA0-4FDE-B3F6-F8748D49332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1-7BA0-4FDE-B3F6-F8748D49332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3-7BA0-4FDE-B3F6-F8748D493322}"/>
              </c:ext>
            </c:extLst>
          </c:dPt>
          <c:cat>
            <c:strRef>
              <c:f>DescriptiveStats!$A$3:$A$15</c:f>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f>DescriptiveStats!$C$3:$C$15</c:f>
              <c:numCache>
                <c:formatCode>General</c:formatCode>
                <c:ptCount val="13"/>
                <c:pt idx="0">
                  <c:v>10.025125628140703</c:v>
                </c:pt>
                <c:pt idx="1">
                  <c:v>0.40014445807360788</c:v>
                </c:pt>
                <c:pt idx="2">
                  <c:v>10</c:v>
                </c:pt>
                <c:pt idx="3">
                  <c:v>8</c:v>
                </c:pt>
                <c:pt idx="4">
                  <c:v>5.6447322237708715</c:v>
                </c:pt>
                <c:pt idx="5">
                  <c:v>31.863001878077252</c:v>
                </c:pt>
                <c:pt idx="6">
                  <c:v>-1.2052157626509212</c:v>
                </c:pt>
                <c:pt idx="7">
                  <c:v>5.1156000989616236E-2</c:v>
                </c:pt>
                <c:pt idx="8">
                  <c:v>18</c:v>
                </c:pt>
                <c:pt idx="9">
                  <c:v>1</c:v>
                </c:pt>
                <c:pt idx="10">
                  <c:v>19</c:v>
                </c:pt>
                <c:pt idx="11">
                  <c:v>1995</c:v>
                </c:pt>
                <c:pt idx="12">
                  <c:v>199</c:v>
                </c:pt>
              </c:numCache>
            </c:numRef>
          </c:val>
          <c:extLst>
            <c:ext xmlns:c16="http://schemas.microsoft.com/office/drawing/2014/chart" uri="{C3380CC4-5D6E-409C-BE32-E72D297353CC}">
              <c16:uniqueId val="{00000001-9E07-41EA-A3F5-5122D1F39140}"/>
            </c:ext>
          </c:extLst>
        </c:ser>
        <c:ser>
          <c:idx val="2"/>
          <c:order val="2"/>
          <c:tx>
            <c:strRef>
              <c:f>DescriptiveStats!$D$1:$D$2</c:f>
              <c:strCache>
                <c:ptCount val="2"/>
                <c:pt idx="0">
                  <c:v>DESCRIPTIVE STATISTICS</c:v>
                </c:pt>
                <c:pt idx="1">
                  <c:v>Discount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5-7BA0-4FDE-B3F6-F8748D4933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7-7BA0-4FDE-B3F6-F8748D4933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9-7BA0-4FDE-B3F6-F8748D4933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B-7BA0-4FDE-B3F6-F8748D4933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D-7BA0-4FDE-B3F6-F8748D4933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F-7BA0-4FDE-B3F6-F8748D4933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1-7BA0-4FDE-B3F6-F8748D4933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3-7BA0-4FDE-B3F6-F8748D4933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5-7BA0-4FDE-B3F6-F8748D49332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7-7BA0-4FDE-B3F6-F8748D49332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9-7BA0-4FDE-B3F6-F8748D49332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B-7BA0-4FDE-B3F6-F8748D49332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D-7BA0-4FDE-B3F6-F8748D493322}"/>
              </c:ext>
            </c:extLst>
          </c:dPt>
          <c:cat>
            <c:strRef>
              <c:f>DescriptiveStats!$A$3:$A$15</c:f>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f>DescriptiveStats!$D$3:$D$15</c:f>
              <c:numCache>
                <c:formatCode>General</c:formatCode>
                <c:ptCount val="13"/>
                <c:pt idx="0">
                  <c:v>9.6733668341708504E-2</c:v>
                </c:pt>
                <c:pt idx="1">
                  <c:v>5.1137432614679242E-3</c:v>
                </c:pt>
                <c:pt idx="2">
                  <c:v>0.1</c:v>
                </c:pt>
                <c:pt idx="3">
                  <c:v>0</c:v>
                </c:pt>
                <c:pt idx="4">
                  <c:v>7.2138226057323535E-2</c:v>
                </c:pt>
                <c:pt idx="5">
                  <c:v>5.2039236586975124E-3</c:v>
                </c:pt>
                <c:pt idx="6">
                  <c:v>-1.3175587852575268</c:v>
                </c:pt>
                <c:pt idx="7">
                  <c:v>0.10503298442946726</c:v>
                </c:pt>
                <c:pt idx="8">
                  <c:v>0.2</c:v>
                </c:pt>
                <c:pt idx="9">
                  <c:v>0</c:v>
                </c:pt>
                <c:pt idx="10">
                  <c:v>0.2</c:v>
                </c:pt>
                <c:pt idx="11">
                  <c:v>19.249999999999993</c:v>
                </c:pt>
                <c:pt idx="12">
                  <c:v>199</c:v>
                </c:pt>
              </c:numCache>
            </c:numRef>
          </c:val>
          <c:extLst>
            <c:ext xmlns:c16="http://schemas.microsoft.com/office/drawing/2014/chart" uri="{C3380CC4-5D6E-409C-BE32-E72D297353CC}">
              <c16:uniqueId val="{00000002-9E07-41EA-A3F5-5122D1F39140}"/>
            </c:ext>
          </c:extLst>
        </c:ser>
        <c:ser>
          <c:idx val="3"/>
          <c:order val="3"/>
          <c:tx>
            <c:strRef>
              <c:f>DescriptiveStats!$E$1:$E$2</c:f>
              <c:strCache>
                <c:ptCount val="2"/>
                <c:pt idx="0">
                  <c:v>DESCRIPTIVE STATISTICS</c:v>
                </c:pt>
                <c:pt idx="1">
                  <c:v>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F-7BA0-4FDE-B3F6-F8748D4933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1-7BA0-4FDE-B3F6-F8748D4933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3-7BA0-4FDE-B3F6-F8748D4933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5-7BA0-4FDE-B3F6-F8748D4933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7-7BA0-4FDE-B3F6-F8748D4933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9-7BA0-4FDE-B3F6-F8748D4933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B-7BA0-4FDE-B3F6-F8748D4933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D-7BA0-4FDE-B3F6-F8748D4933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F-7BA0-4FDE-B3F6-F8748D49332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1-7BA0-4FDE-B3F6-F8748D49332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3-7BA0-4FDE-B3F6-F8748D49332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5-7BA0-4FDE-B3F6-F8748D49332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7-7BA0-4FDE-B3F6-F8748D493322}"/>
              </c:ext>
            </c:extLst>
          </c:dPt>
          <c:cat>
            <c:strRef>
              <c:f>DescriptiveStats!$A$3:$A$15</c:f>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f>DescriptiveStats!$E$3:$E$15</c:f>
              <c:numCache>
                <c:formatCode>General</c:formatCode>
                <c:ptCount val="13"/>
                <c:pt idx="0">
                  <c:v>341.48472361809047</c:v>
                </c:pt>
                <c:pt idx="1">
                  <c:v>9.6483541158221815</c:v>
                </c:pt>
                <c:pt idx="2">
                  <c:v>332.32</c:v>
                </c:pt>
                <c:pt idx="3">
                  <c:v>#N/A</c:v>
                </c:pt>
                <c:pt idx="4">
                  <c:v>136.10678415022619</c:v>
                </c:pt>
                <c:pt idx="5">
                  <c:v>18525.056691716265</c:v>
                </c:pt>
                <c:pt idx="6">
                  <c:v>0.24746466034092496</c:v>
                </c:pt>
                <c:pt idx="7">
                  <c:v>0.57090181327812994</c:v>
                </c:pt>
                <c:pt idx="8">
                  <c:v>704.83</c:v>
                </c:pt>
                <c:pt idx="9">
                  <c:v>64.63</c:v>
                </c:pt>
                <c:pt idx="10">
                  <c:v>769.46</c:v>
                </c:pt>
                <c:pt idx="11">
                  <c:v>67955.460000000006</c:v>
                </c:pt>
                <c:pt idx="12">
                  <c:v>199</c:v>
                </c:pt>
              </c:numCache>
            </c:numRef>
          </c:val>
          <c:extLst>
            <c:ext xmlns:c16="http://schemas.microsoft.com/office/drawing/2014/chart" uri="{C3380CC4-5D6E-409C-BE32-E72D297353CC}">
              <c16:uniqueId val="{00000003-9E07-41EA-A3F5-5122D1F3914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[PR_2.xlsx]PivotTable!PivotTable1</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PivotTable!$C$10:$C$11</c:f>
              <c:strCache>
                <c:ptCount val="1"/>
                <c:pt idx="0">
                  <c:v>Central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PivotTable!$B$12:$B$17</c:f>
              <c:strCache>
                <c:ptCount val="5"/>
                <c:pt idx="0">
                  <c:v>Books</c:v>
                </c:pt>
                <c:pt idx="1">
                  <c:v>Clothing</c:v>
                </c:pt>
                <c:pt idx="2">
                  <c:v>Electronics</c:v>
                </c:pt>
                <c:pt idx="3">
                  <c:v>Furniture</c:v>
                </c:pt>
                <c:pt idx="4">
                  <c:v>Office Supplies</c:v>
                </c:pt>
              </c:strCache>
            </c:strRef>
          </c:cat>
          <c:val>
            <c:numRef>
              <c:f>PivotTable!$C$12:$C$17</c:f>
              <c:numCache>
                <c:formatCode>General</c:formatCode>
                <c:ptCount val="5"/>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0-D0DE-4D3C-845F-E457CDD0A3E0}"/>
            </c:ext>
          </c:extLst>
        </c:ser>
        <c:ser>
          <c:idx val="1"/>
          <c:order val="1"/>
          <c:tx>
            <c:strRef>
              <c:f>PivotTable!$D$10:$D$11</c:f>
              <c:strCache>
                <c:ptCount val="1"/>
                <c:pt idx="0">
                  <c:v>East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PivotTable!$B$12:$B$17</c:f>
              <c:strCache>
                <c:ptCount val="5"/>
                <c:pt idx="0">
                  <c:v>Books</c:v>
                </c:pt>
                <c:pt idx="1">
                  <c:v>Clothing</c:v>
                </c:pt>
                <c:pt idx="2">
                  <c:v>Electronics</c:v>
                </c:pt>
                <c:pt idx="3">
                  <c:v>Furniture</c:v>
                </c:pt>
                <c:pt idx="4">
                  <c:v>Office Supplies</c:v>
                </c:pt>
              </c:strCache>
            </c:strRef>
          </c:cat>
          <c:val>
            <c:numRef>
              <c:f>PivotTable!$D$12:$D$17</c:f>
              <c:numCache>
                <c:formatCode>General</c:formatCode>
                <c:ptCount val="5"/>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01-D0DE-4D3C-845F-E457CDD0A3E0}"/>
            </c:ext>
          </c:extLst>
        </c:ser>
        <c:ser>
          <c:idx val="2"/>
          <c:order val="2"/>
          <c:tx>
            <c:strRef>
              <c:f>PivotTable!$E$10:$E$11</c:f>
              <c:strCache>
                <c:ptCount val="1"/>
                <c:pt idx="0">
                  <c:v>North</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PivotTable!$B$12:$B$17</c:f>
              <c:strCache>
                <c:ptCount val="5"/>
                <c:pt idx="0">
                  <c:v>Books</c:v>
                </c:pt>
                <c:pt idx="1">
                  <c:v>Clothing</c:v>
                </c:pt>
                <c:pt idx="2">
                  <c:v>Electronics</c:v>
                </c:pt>
                <c:pt idx="3">
                  <c:v>Furniture</c:v>
                </c:pt>
                <c:pt idx="4">
                  <c:v>Office Supplies</c:v>
                </c:pt>
              </c:strCache>
            </c:strRef>
          </c:cat>
          <c:val>
            <c:numRef>
              <c:f>PivotTable!$E$12:$E$17</c:f>
              <c:numCache>
                <c:formatCode>General</c:formatCode>
                <c:ptCount val="5"/>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02-D0DE-4D3C-845F-E457CDD0A3E0}"/>
            </c:ext>
          </c:extLst>
        </c:ser>
        <c:ser>
          <c:idx val="3"/>
          <c:order val="3"/>
          <c:tx>
            <c:strRef>
              <c:f>PivotTable!$F$10:$F$11</c:f>
              <c:strCache>
                <c:ptCount val="1"/>
                <c:pt idx="0">
                  <c:v>South</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PivotTable!$B$12:$B$17</c:f>
              <c:strCache>
                <c:ptCount val="5"/>
                <c:pt idx="0">
                  <c:v>Books</c:v>
                </c:pt>
                <c:pt idx="1">
                  <c:v>Clothing</c:v>
                </c:pt>
                <c:pt idx="2">
                  <c:v>Electronics</c:v>
                </c:pt>
                <c:pt idx="3">
                  <c:v>Furniture</c:v>
                </c:pt>
                <c:pt idx="4">
                  <c:v>Office Supplies</c:v>
                </c:pt>
              </c:strCache>
            </c:strRef>
          </c:cat>
          <c:val>
            <c:numRef>
              <c:f>PivotTable!$F$12:$F$17</c:f>
              <c:numCache>
                <c:formatCode>General</c:formatCode>
                <c:ptCount val="5"/>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03-D0DE-4D3C-845F-E457CDD0A3E0}"/>
            </c:ext>
          </c:extLst>
        </c:ser>
        <c:ser>
          <c:idx val="4"/>
          <c:order val="4"/>
          <c:tx>
            <c:strRef>
              <c:f>PivotTable!$G$10:$G$11</c:f>
              <c:strCache>
                <c:ptCount val="1"/>
                <c:pt idx="0">
                  <c:v>West</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PivotTable!$B$12:$B$17</c:f>
              <c:strCache>
                <c:ptCount val="5"/>
                <c:pt idx="0">
                  <c:v>Books</c:v>
                </c:pt>
                <c:pt idx="1">
                  <c:v>Clothing</c:v>
                </c:pt>
                <c:pt idx="2">
                  <c:v>Electronics</c:v>
                </c:pt>
                <c:pt idx="3">
                  <c:v>Furniture</c:v>
                </c:pt>
                <c:pt idx="4">
                  <c:v>Office Supplies</c:v>
                </c:pt>
              </c:strCache>
            </c:strRef>
          </c:cat>
          <c:val>
            <c:numRef>
              <c:f>PivotTable!$G$12:$G$17</c:f>
              <c:numCache>
                <c:formatCode>General</c:formatCode>
                <c:ptCount val="5"/>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04-D0DE-4D3C-845F-E457CDD0A3E0}"/>
            </c:ext>
          </c:extLst>
        </c:ser>
        <c:dLbls>
          <c:showLegendKey val="0"/>
          <c:showVal val="0"/>
          <c:showCatName val="0"/>
          <c:showSerName val="0"/>
          <c:showPercent val="0"/>
          <c:showBubbleSize val="0"/>
        </c:dLbls>
        <c:gapWidth val="315"/>
        <c:overlap val="-40"/>
        <c:axId val="1379024656"/>
        <c:axId val="1117516656"/>
      </c:barChart>
      <c:catAx>
        <c:axId val="1379024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7516656"/>
        <c:crosses val="autoZero"/>
        <c:auto val="1"/>
        <c:lblAlgn val="ctr"/>
        <c:lblOffset val="100"/>
        <c:noMultiLvlLbl val="0"/>
      </c:catAx>
      <c:valAx>
        <c:axId val="11175166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902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16</xdr:col>
      <xdr:colOff>483610</xdr:colOff>
      <xdr:row>39</xdr:row>
      <xdr:rowOff>82836</xdr:rowOff>
    </xdr:from>
    <xdr:to>
      <xdr:col>25</xdr:col>
      <xdr:colOff>378711</xdr:colOff>
      <xdr:row>64</xdr:row>
      <xdr:rowOff>356804</xdr:rowOff>
    </xdr:to>
    <xdr:graphicFrame macro="">
      <xdr:nvGraphicFramePr>
        <xdr:cNvPr id="2" name="Chart 1">
          <a:extLst>
            <a:ext uri="{FF2B5EF4-FFF2-40B4-BE49-F238E27FC236}">
              <a16:creationId xmlns:a16="http://schemas.microsoft.com/office/drawing/2014/main" id="{B5078C24-7B06-4201-BCB6-F5844BD34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638622</xdr:colOff>
      <xdr:row>31</xdr:row>
      <xdr:rowOff>86299</xdr:rowOff>
    </xdr:from>
    <xdr:to>
      <xdr:col>25</xdr:col>
      <xdr:colOff>152400</xdr:colOff>
      <xdr:row>35</xdr:row>
      <xdr:rowOff>157021</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5A333821-20AC-76D6-5973-99DFD3E7768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446930" y="5869684"/>
              <a:ext cx="6469470" cy="774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549293</xdr:colOff>
      <xdr:row>39</xdr:row>
      <xdr:rowOff>94613</xdr:rowOff>
    </xdr:from>
    <xdr:to>
      <xdr:col>39</xdr:col>
      <xdr:colOff>1650399</xdr:colOff>
      <xdr:row>64</xdr:row>
      <xdr:rowOff>301189</xdr:rowOff>
    </xdr:to>
    <xdr:graphicFrame macro="">
      <xdr:nvGraphicFramePr>
        <xdr:cNvPr id="5" name="Chart 4">
          <a:extLst>
            <a:ext uri="{FF2B5EF4-FFF2-40B4-BE49-F238E27FC236}">
              <a16:creationId xmlns:a16="http://schemas.microsoft.com/office/drawing/2014/main" id="{E484F417-2B1F-4111-8021-671BF382C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28</xdr:col>
      <xdr:colOff>360150</xdr:colOff>
      <xdr:row>32</xdr:row>
      <xdr:rowOff>96588</xdr:rowOff>
    </xdr:from>
    <xdr:to>
      <xdr:col>39</xdr:col>
      <xdr:colOff>1615440</xdr:colOff>
      <xdr:row>36</xdr:row>
      <xdr:rowOff>60962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D45C660-D461-878E-216B-113F95EC83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941227" y="6055819"/>
              <a:ext cx="6061751" cy="70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40</xdr:col>
      <xdr:colOff>319375</xdr:colOff>
      <xdr:row>38</xdr:row>
      <xdr:rowOff>110292</xdr:rowOff>
    </xdr:from>
    <xdr:to>
      <xdr:col>51</xdr:col>
      <xdr:colOff>184051</xdr:colOff>
      <xdr:row>64</xdr:row>
      <xdr:rowOff>172261</xdr:rowOff>
    </xdr:to>
    <xdr:graphicFrame macro="">
      <xdr:nvGraphicFramePr>
        <xdr:cNvPr id="8" name="Chart 7">
          <a:extLst>
            <a:ext uri="{FF2B5EF4-FFF2-40B4-BE49-F238E27FC236}">
              <a16:creationId xmlns:a16="http://schemas.microsoft.com/office/drawing/2014/main" id="{DDD9CFB9-C154-4E37-9DEA-D07862DA3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41</xdr:col>
      <xdr:colOff>342733</xdr:colOff>
      <xdr:row>32</xdr:row>
      <xdr:rowOff>103909</xdr:rowOff>
    </xdr:from>
    <xdr:to>
      <xdr:col>50</xdr:col>
      <xdr:colOff>79497</xdr:colOff>
      <xdr:row>36</xdr:row>
      <xdr:rowOff>146461</xdr:rowOff>
    </xdr:to>
    <mc:AlternateContent xmlns:mc="http://schemas.openxmlformats.org/markup-compatibility/2006" xmlns:a14="http://schemas.microsoft.com/office/drawing/2010/main">
      <mc:Choice Requires="a14">
        <xdr:graphicFrame macro="">
          <xdr:nvGraphicFramePr>
            <xdr:cNvPr id="9" name="Top 10?">
              <a:extLst>
                <a:ext uri="{FF2B5EF4-FFF2-40B4-BE49-F238E27FC236}">
                  <a16:creationId xmlns:a16="http://schemas.microsoft.com/office/drawing/2014/main" id="{45BBD633-1060-A9D4-9632-09A5E525F3E9}"/>
                </a:ext>
              </a:extLst>
            </xdr:cNvPr>
            <xdr:cNvGraphicFramePr/>
          </xdr:nvGraphicFramePr>
          <xdr:xfrm>
            <a:off x="0" y="0"/>
            <a:ext cx="0" cy="0"/>
          </xdr:xfrm>
          <a:graphic>
            <a:graphicData uri="http://schemas.microsoft.com/office/drawing/2010/slicer">
              <sle:slicer xmlns:sle="http://schemas.microsoft.com/office/drawing/2010/slicer" name="Top 10?"/>
            </a:graphicData>
          </a:graphic>
        </xdr:graphicFrame>
      </mc:Choice>
      <mc:Fallback xmlns="">
        <xdr:sp macro="" textlink="">
          <xdr:nvSpPr>
            <xdr:cNvPr id="0" name=""/>
            <xdr:cNvSpPr>
              <a:spLocks noTextEdit="1"/>
            </xdr:cNvSpPr>
          </xdr:nvSpPr>
          <xdr:spPr>
            <a:xfrm>
              <a:off x="26934579" y="6063140"/>
              <a:ext cx="5187995" cy="785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23905</xdr:colOff>
      <xdr:row>39</xdr:row>
      <xdr:rowOff>12847</xdr:rowOff>
    </xdr:from>
    <xdr:to>
      <xdr:col>14</xdr:col>
      <xdr:colOff>532973</xdr:colOff>
      <xdr:row>64</xdr:row>
      <xdr:rowOff>439697</xdr:rowOff>
    </xdr:to>
    <xdr:graphicFrame macro="">
      <xdr:nvGraphicFramePr>
        <xdr:cNvPr id="10" name="Chart 9">
          <a:extLst>
            <a:ext uri="{FF2B5EF4-FFF2-40B4-BE49-F238E27FC236}">
              <a16:creationId xmlns:a16="http://schemas.microsoft.com/office/drawing/2014/main" id="{F5680391-95E0-4D80-8EC6-BC55F09F1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418274</xdr:colOff>
      <xdr:row>31</xdr:row>
      <xdr:rowOff>136830</xdr:rowOff>
    </xdr:from>
    <xdr:to>
      <xdr:col>14</xdr:col>
      <xdr:colOff>606300</xdr:colOff>
      <xdr:row>35</xdr:row>
      <xdr:rowOff>131288</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784D24C0-3BEA-3533-576C-08ADC7927DD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37659" y="5920215"/>
              <a:ext cx="7006949" cy="697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67</xdr:row>
      <xdr:rowOff>21771</xdr:rowOff>
    </xdr:from>
    <xdr:to>
      <xdr:col>52</xdr:col>
      <xdr:colOff>457200</xdr:colOff>
      <xdr:row>101</xdr:row>
      <xdr:rowOff>25400</xdr:rowOff>
    </xdr:to>
    <xdr:sp macro="" textlink="">
      <xdr:nvSpPr>
        <xdr:cNvPr id="12" name="Rectangle: Rounded Corners 11">
          <a:extLst>
            <a:ext uri="{FF2B5EF4-FFF2-40B4-BE49-F238E27FC236}">
              <a16:creationId xmlns:a16="http://schemas.microsoft.com/office/drawing/2014/main" id="{BEC553C5-8556-637B-3590-847C99A142DE}"/>
            </a:ext>
          </a:extLst>
        </xdr:cNvPr>
        <xdr:cNvSpPr/>
      </xdr:nvSpPr>
      <xdr:spPr>
        <a:xfrm>
          <a:off x="1727200" y="13991771"/>
          <a:ext cx="32105600" cy="72172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6600" b="0" i="0" u="none" strike="noStrike">
              <a:solidFill>
                <a:schemeClr val="lt1"/>
              </a:solidFill>
              <a:effectLst/>
              <a:latin typeface="+mn-lt"/>
              <a:ea typeface="+mn-ea"/>
              <a:cs typeface="+mn-cs"/>
            </a:rPr>
            <a:t>Key </a:t>
          </a:r>
          <a:r>
            <a:rPr lang="en-IN" sz="2400" b="0" i="0" u="none" strike="noStrike">
              <a:solidFill>
                <a:schemeClr val="lt1"/>
              </a:solidFill>
              <a:effectLst/>
              <a:latin typeface="+mn-lt"/>
              <a:ea typeface="+mn-ea"/>
              <a:cs typeface="+mn-cs"/>
            </a:rPr>
            <a:t> </a:t>
          </a:r>
          <a:r>
            <a:rPr lang="en-IN" sz="6600" b="0" i="0" u="none" strike="noStrike">
              <a:solidFill>
                <a:schemeClr val="lt1"/>
              </a:solidFill>
              <a:effectLst/>
              <a:latin typeface="+mn-lt"/>
              <a:ea typeface="+mn-ea"/>
              <a:cs typeface="+mn-cs"/>
            </a:rPr>
            <a:t>Insights</a:t>
          </a:r>
          <a:r>
            <a:rPr lang="en-IN" sz="2400">
              <a:effectLst/>
            </a:rPr>
            <a:t> </a:t>
          </a:r>
        </a:p>
        <a:p>
          <a:pPr algn="l"/>
          <a:r>
            <a:rPr lang="en-IN" sz="4400"/>
            <a:t>• The top 10 customers (see CustomerSummary) account for a disproportionate share of total purchase value — prioritize them for retention offers.</a:t>
          </a:r>
        </a:p>
        <a:p>
          <a:pPr algn="l"/>
          <a:r>
            <a:rPr lang="en-IN" sz="4400"/>
            <a:t>• Regression shows Profit rises with Sales (see Regression sheet slope &amp; R²) — but discount level materially erodes margin (see WhatIf sensitivity table)</a:t>
          </a:r>
        </a:p>
        <a:p>
          <a:pPr algn="l"/>
          <a:r>
            <a:rPr lang="en-IN" sz="4400"/>
            <a:t>• Monthly sales growth alternates between positive and negative months (see arrow icons on MonthlySales) — flag months     with red down-arrows for follow-up.</a:t>
          </a:r>
        </a:p>
        <a:p>
          <a:pPr algn="l"/>
          <a:r>
            <a:rPr lang="en-IN" sz="4400"/>
            <a:t>• Use the Region x Product pivot table to spot which region-product combinations most reward promotional spend</a:t>
          </a:r>
          <a:r>
            <a:rPr lang="en-IN" sz="6000"/>
            <a:t>.</a:t>
          </a:r>
        </a:p>
        <a:p>
          <a:pPr algn="l"/>
          <a:endParaRPr lang="en-IN" sz="6000"/>
        </a:p>
        <a:p>
          <a:pPr algn="l"/>
          <a:endParaRPr lang="en-IN" sz="6000"/>
        </a:p>
      </xdr:txBody>
    </xdr:sp>
    <xdr:clientData/>
  </xdr:twoCellAnchor>
  <xdr:twoCellAnchor editAs="oneCell">
    <xdr:from>
      <xdr:col>13</xdr:col>
      <xdr:colOff>381000</xdr:colOff>
      <xdr:row>18</xdr:row>
      <xdr:rowOff>50800</xdr:rowOff>
    </xdr:from>
    <xdr:to>
      <xdr:col>42</xdr:col>
      <xdr:colOff>533400</xdr:colOff>
      <xdr:row>27</xdr:row>
      <xdr:rowOff>76200</xdr:rowOff>
    </xdr:to>
    <xdr:pic>
      <xdr:nvPicPr>
        <xdr:cNvPr id="14" name="Picture 13">
          <a:extLst>
            <a:ext uri="{FF2B5EF4-FFF2-40B4-BE49-F238E27FC236}">
              <a16:creationId xmlns:a16="http://schemas.microsoft.com/office/drawing/2014/main" id="{77CF0E2E-2D2A-BDD2-2600-9C48CD77D0E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331200" y="3581400"/>
          <a:ext cx="19481800" cy="162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203200</xdr:colOff>
      <xdr:row>1</xdr:row>
      <xdr:rowOff>101600</xdr:rowOff>
    </xdr:from>
    <xdr:to>
      <xdr:col>50</xdr:col>
      <xdr:colOff>0</xdr:colOff>
      <xdr:row>15</xdr:row>
      <xdr:rowOff>0</xdr:rowOff>
    </xdr:to>
    <xdr:sp macro="" textlink="">
      <xdr:nvSpPr>
        <xdr:cNvPr id="15" name="Rectangle: Rounded Corners 14">
          <a:extLst>
            <a:ext uri="{FF2B5EF4-FFF2-40B4-BE49-F238E27FC236}">
              <a16:creationId xmlns:a16="http://schemas.microsoft.com/office/drawing/2014/main" id="{A1521423-F077-6082-28F1-098103B7D381}"/>
            </a:ext>
          </a:extLst>
        </xdr:cNvPr>
        <xdr:cNvSpPr/>
      </xdr:nvSpPr>
      <xdr:spPr>
        <a:xfrm>
          <a:off x="3149600" y="279400"/>
          <a:ext cx="29006800" cy="2717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600">
              <a:latin typeface="Arial Black" panose="020B0A04020102020204" pitchFamily="34" charset="0"/>
            </a:rPr>
            <a:t>SALES PERFORMANCE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86139</xdr:colOff>
      <xdr:row>1</xdr:row>
      <xdr:rowOff>29817</xdr:rowOff>
    </xdr:from>
    <xdr:to>
      <xdr:col>14</xdr:col>
      <xdr:colOff>390939</xdr:colOff>
      <xdr:row>15</xdr:row>
      <xdr:rowOff>175591</xdr:rowOff>
    </xdr:to>
    <xdr:graphicFrame macro="">
      <xdr:nvGraphicFramePr>
        <xdr:cNvPr id="2" name="Chart 1">
          <a:extLst>
            <a:ext uri="{FF2B5EF4-FFF2-40B4-BE49-F238E27FC236}">
              <a16:creationId xmlns:a16="http://schemas.microsoft.com/office/drawing/2014/main" id="{FFD590BC-3150-9327-CCAB-B89F420B0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220980</xdr:colOff>
      <xdr:row>2</xdr:row>
      <xdr:rowOff>102870</xdr:rowOff>
    </xdr:from>
    <xdr:to>
      <xdr:col>12</xdr:col>
      <xdr:colOff>525780</xdr:colOff>
      <xdr:row>17</xdr:row>
      <xdr:rowOff>64770</xdr:rowOff>
    </xdr:to>
    <xdr:graphicFrame macro="">
      <xdr:nvGraphicFramePr>
        <xdr:cNvPr id="2" name="Chart 1">
          <a:extLst>
            <a:ext uri="{FF2B5EF4-FFF2-40B4-BE49-F238E27FC236}">
              <a16:creationId xmlns:a16="http://schemas.microsoft.com/office/drawing/2014/main" id="{4961A2C7-D52A-ADAA-F318-6D3A5FBE7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182880</xdr:colOff>
      <xdr:row>0</xdr:row>
      <xdr:rowOff>133350</xdr:rowOff>
    </xdr:from>
    <xdr:to>
      <xdr:col>12</xdr:col>
      <xdr:colOff>487680</xdr:colOff>
      <xdr:row>15</xdr:row>
      <xdr:rowOff>95250</xdr:rowOff>
    </xdr:to>
    <xdr:graphicFrame macro="">
      <xdr:nvGraphicFramePr>
        <xdr:cNvPr id="2" name="Chart 1">
          <a:extLst>
            <a:ext uri="{FF2B5EF4-FFF2-40B4-BE49-F238E27FC236}">
              <a16:creationId xmlns:a16="http://schemas.microsoft.com/office/drawing/2014/main" id="{DD716A3B-8482-2EE7-CDF1-6585C401B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495300</xdr:colOff>
      <xdr:row>6</xdr:row>
      <xdr:rowOff>148590</xdr:rowOff>
    </xdr:from>
    <xdr:to>
      <xdr:col>16</xdr:col>
      <xdr:colOff>190500</xdr:colOff>
      <xdr:row>21</xdr:row>
      <xdr:rowOff>148590</xdr:rowOff>
    </xdr:to>
    <xdr:graphicFrame macro="">
      <xdr:nvGraphicFramePr>
        <xdr:cNvPr id="2" name="Chart 1">
          <a:extLst>
            <a:ext uri="{FF2B5EF4-FFF2-40B4-BE49-F238E27FC236}">
              <a16:creationId xmlns:a16="http://schemas.microsoft.com/office/drawing/2014/main" id="{B7A6CE88-60BF-970D-8DA2-5E7F0410C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4.640115393522" createdVersion="8" refreshedVersion="8" minRefreshableVersion="3" recordCount="200" xr:uid="{6234C7D9-F71D-43D9-BCCC-00D116E9D26B}">
  <cacheSource type="worksheet">
    <worksheetSource name="Table1"/>
  </cacheSource>
  <cacheFields count="11">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Timestamp" numFmtId="165">
      <sharedItems containsSemiMixedTypes="0" containsNonDate="0" containsDate="1" containsString="0" minDate="2026-09-09T15:19:03" maxDate="2026-09-09T15:19:03"/>
    </cacheField>
    <cacheField name="Order Month" numFmtId="17">
      <sharedItems containsSemiMixedTypes="0" containsNonDate="0" containsDate="1" containsString="0" minDate="2024-04-01T00:00:00" maxDate="2025-04-02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4.648311805555" createdVersion="8" refreshedVersion="8" minRefreshableVersion="3" recordCount="200" xr:uid="{170FC505-67E4-4532-8080-7FE7803167C3}">
  <cacheSource type="worksheet">
    <worksheetSource name="Table1"/>
  </cacheSource>
  <cacheFields count="11">
    <cacheField name="Customer_ID" numFmtId="0">
      <sharedItems/>
    </cacheField>
    <cacheField name="Customer_Name" numFmtId="0">
      <sharedItems/>
    </cacheField>
    <cacheField name="Region" numFmtId="0">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Timestamp" numFmtId="165">
      <sharedItems containsSemiMixedTypes="0" containsNonDate="0" containsDate="1" containsString="0" minDate="2026-09-09T15:30:06" maxDate="2026-09-09T15:30:06"/>
    </cacheField>
    <cacheField name="Order Month" numFmtId="17">
      <sharedItems containsSemiMixedTypes="0" containsNonDate="0" containsDate="1" containsString="0" minDate="2024-04-01T00:00:00" maxDate="2025-04-02T00:00:00"/>
    </cacheField>
  </cacheFields>
  <extLst>
    <ext xmlns:x14="http://schemas.microsoft.com/office/spreadsheetml/2009/9/main" uri="{725AE2AE-9491-48be-B2B4-4EB974FC3084}">
      <x14:pivotCacheDefinition pivotCacheId="81821099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4.648922916669" createdVersion="8" refreshedVersion="8" minRefreshableVersion="3" recordCount="200" xr:uid="{A6ECDDBB-CDBA-4C55-921E-115A463B74C0}">
  <cacheSource type="worksheet">
    <worksheetSource name="Table1"/>
  </cacheSource>
  <cacheFields count="11">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Timestamp" numFmtId="165">
      <sharedItems containsSemiMixedTypes="0" containsNonDate="0" containsDate="1" containsString="0" minDate="2026-09-09T15:33:34" maxDate="2026-09-09T15:33:34"/>
    </cacheField>
    <cacheField name="Order Month" numFmtId="17">
      <sharedItems containsSemiMixedTypes="0" containsNonDate="0" containsDate="1" containsString="0" minDate="2024-04-01T00:00:00" maxDate="2025-04-02T00:00:00"/>
    </cacheField>
  </cacheFields>
  <extLst>
    <ext xmlns:x14="http://schemas.microsoft.com/office/spreadsheetml/2009/9/main" uri="{725AE2AE-9491-48be-B2B4-4EB974FC3084}">
      <x14:pivotCacheDefinition pivotCacheId="202433850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4.667829745369" createdVersion="8" refreshedVersion="8" minRefreshableVersion="3" recordCount="27" xr:uid="{C446A759-86E8-469C-BE6E-77BEC4C1D0D7}">
  <cacheSource type="worksheet">
    <worksheetSource name="Table2"/>
  </cacheSource>
  <cacheFields count="7">
    <cacheField name="CustorID" numFmtId="0">
      <sharedItems/>
    </cacheField>
    <cacheField name="CustomerName" numFmtId="0">
      <sharedItems count="27">
        <s v="David Anderson"/>
        <s v="David Brown"/>
        <s v="David Davis"/>
        <s v="David Smith"/>
        <s v="David Thomas"/>
        <s v="Emma Davis"/>
        <s v="Emma Taylor"/>
        <s v="Emma Wilson"/>
        <s v="James Davis"/>
        <s v="James Taylor"/>
        <s v="James Wilson"/>
        <s v="John Brown"/>
        <s v="Linda Brown"/>
        <s v="Linda Davis"/>
        <s v="Linda Jackson"/>
        <s v="Linda Moore"/>
        <s v="Linda Taylor"/>
        <s v="Linda Wilson"/>
        <s v="Lisa Davis"/>
        <s v="Lisa Thomas"/>
        <s v="Mary Davis"/>
        <s v="Mary Jackson"/>
        <s v="Mary Wilson"/>
        <s v="Michael Anderson"/>
        <s v="Robert Anderson"/>
        <s v="Sarah Anderson"/>
        <s v="Sarah Davis"/>
      </sharedItems>
    </cacheField>
    <cacheField name="Total Purchase (Sales)" numFmtId="164">
      <sharedItems containsSemiMixedTypes="0" containsString="0" containsNumber="1" minValue="856.7" maxValue="20774.739999999998"/>
    </cacheField>
    <cacheField name="Total Profit" numFmtId="164">
      <sharedItems containsSemiMixedTypes="0" containsString="0" containsNumber="1" minValue="214.18" maxValue="7077.9199999999992"/>
    </cacheField>
    <cacheField name="Order Count" numFmtId="0">
      <sharedItems containsSemiMixedTypes="0" containsString="0" containsNumber="1" containsInteger="1" minValue="1" maxValue="20"/>
    </cacheField>
    <cacheField name="Rank" numFmtId="0">
      <sharedItems containsSemiMixedTypes="0" containsString="0" containsNumber="1" containsInteger="1" minValue="1" maxValue="27" count="27">
        <n v="19"/>
        <n v="3"/>
        <n v="23"/>
        <n v="25"/>
        <n v="14"/>
        <n v="4"/>
        <n v="21"/>
        <n v="7"/>
        <n v="15"/>
        <n v="18"/>
        <n v="1"/>
        <n v="26"/>
        <n v="16"/>
        <n v="27"/>
        <n v="22"/>
        <n v="24"/>
        <n v="11"/>
        <n v="5"/>
        <n v="9"/>
        <n v="6"/>
        <n v="2"/>
        <n v="13"/>
        <n v="20"/>
        <n v="10"/>
        <n v="8"/>
        <n v="12"/>
        <n v="17"/>
      </sharedItems>
    </cacheField>
    <cacheField name="Top 10?" numFmtId="0">
      <sharedItems count="2">
        <s v="No"/>
        <s v="Yes"/>
      </sharedItems>
    </cacheField>
  </cacheFields>
  <extLst>
    <ext xmlns:x14="http://schemas.microsoft.com/office/spreadsheetml/2009/9/main" uri="{725AE2AE-9491-48be-B2B4-4EB974FC3084}">
      <x14:pivotCacheDefinition pivotCacheId="621463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d v="2026-09-09T15:19:03"/>
    <d v="2024-04-01T00:00:00"/>
  </r>
  <r>
    <s v="CUST012"/>
    <s v="Robert Anderson"/>
    <x v="0"/>
    <x v="1"/>
    <n v="1101.28"/>
    <n v="3"/>
    <n v="0.2"/>
    <d v="2024-04-11T00:00:00"/>
    <n v="440.51"/>
    <d v="2026-09-09T15:19:03"/>
    <d v="2024-04-01T00:00:00"/>
  </r>
  <r>
    <s v="CUST017"/>
    <s v="James Taylor"/>
    <x v="1"/>
    <x v="0"/>
    <n v="713.34"/>
    <n v="17"/>
    <n v="0"/>
    <d v="2024-04-14T00:00:00"/>
    <n v="285.33999999999997"/>
    <d v="2026-09-09T15:19:03"/>
    <d v="2024-04-01T00:00:00"/>
  </r>
  <r>
    <s v="CUST005"/>
    <s v="Robert Anderson"/>
    <x v="2"/>
    <x v="2"/>
    <n v="760.93"/>
    <n v="4"/>
    <n v="0.15"/>
    <d v="2024-04-14T00:00:00"/>
    <n v="161.69999999999999"/>
    <d v="2026-09-09T15:19:03"/>
    <d v="2024-04-01T00:00:00"/>
  </r>
  <r>
    <s v="CUST030"/>
    <s v="James Wilson"/>
    <x v="3"/>
    <x v="0"/>
    <n v="847"/>
    <n v="12"/>
    <n v="0.2"/>
    <d v="2024-04-15T00:00:00"/>
    <n v="271.04000000000002"/>
    <d v="2026-09-09T15:19:03"/>
    <d v="2024-04-01T00:00:00"/>
  </r>
  <r>
    <s v="CUST007"/>
    <s v="Michael Anderson"/>
    <x v="3"/>
    <x v="3"/>
    <n v="965.64"/>
    <n v="8"/>
    <n v="0.1"/>
    <d v="2024-04-16T00:00:00"/>
    <n v="304.18"/>
    <d v="2026-09-09T15:19:03"/>
    <d v="2024-04-01T00:00:00"/>
  </r>
  <r>
    <s v="CUST001"/>
    <s v="Linda Wilson"/>
    <x v="0"/>
    <x v="2"/>
    <n v="1317.53"/>
    <n v="12"/>
    <n v="0.05"/>
    <d v="2024-04-16T00:00:00"/>
    <n v="312.91000000000003"/>
    <d v="2026-09-09T15:19:03"/>
    <d v="2024-04-01T00:00:00"/>
  </r>
  <r>
    <s v="CUST026"/>
    <s v="Mary Davis"/>
    <x v="1"/>
    <x v="3"/>
    <n v="1074.47"/>
    <n v="6"/>
    <n v="0.2"/>
    <d v="2024-04-19T00:00:00"/>
    <n v="300.85000000000002"/>
    <d v="2026-09-09T15:19:03"/>
    <d v="2024-04-01T00:00:00"/>
  </r>
  <r>
    <s v="CUST009"/>
    <s v="Linda Jackson"/>
    <x v="4"/>
    <x v="0"/>
    <n v="501.54"/>
    <n v="11"/>
    <n v="0.05"/>
    <d v="2024-04-19T00:00:00"/>
    <n v="190.59"/>
    <d v="2026-09-09T15:19:03"/>
    <d v="2024-04-01T00:00:00"/>
  </r>
  <r>
    <s v="CUST010"/>
    <s v="David Thomas"/>
    <x v="4"/>
    <x v="1"/>
    <n v="737.31"/>
    <n v="2"/>
    <n v="0.05"/>
    <d v="2024-04-19T00:00:00"/>
    <n v="350.22"/>
    <d v="2026-09-09T15:19:03"/>
    <d v="2024-04-01T00:00:00"/>
  </r>
  <r>
    <s v="CUST014"/>
    <s v="Emma Davis"/>
    <x v="0"/>
    <x v="4"/>
    <n v="1572.82"/>
    <n v="6"/>
    <n v="0.05"/>
    <d v="2024-04-20T00:00:00"/>
    <n v="672.38"/>
    <d v="2026-09-09T15:19:03"/>
    <d v="2024-04-01T00:00:00"/>
  </r>
  <r>
    <s v="CUST014"/>
    <s v="David Thomas"/>
    <x v="4"/>
    <x v="0"/>
    <n v="1343.13"/>
    <n v="14"/>
    <n v="0.15"/>
    <d v="2024-04-22T00:00:00"/>
    <n v="456.66"/>
    <d v="2026-09-09T15:19:03"/>
    <d v="2024-04-01T00:00:00"/>
  </r>
  <r>
    <s v="CUST007"/>
    <s v="Michael Anderson"/>
    <x v="4"/>
    <x v="0"/>
    <n v="1191.58"/>
    <n v="14"/>
    <n v="0.05"/>
    <d v="2024-04-24T00:00:00"/>
    <n v="452.8"/>
    <d v="2026-09-09T15:19:03"/>
    <d v="2024-04-01T00:00:00"/>
  </r>
  <r>
    <s v="CUST023"/>
    <s v="Robert Anderson"/>
    <x v="0"/>
    <x v="3"/>
    <n v="822.28"/>
    <n v="7"/>
    <n v="0.05"/>
    <d v="2024-04-24T00:00:00"/>
    <n v="273.41000000000003"/>
    <d v="2026-09-09T15:19:03"/>
    <d v="2024-04-01T00:00:00"/>
  </r>
  <r>
    <s v="CUST029"/>
    <s v="David Smith"/>
    <x v="3"/>
    <x v="3"/>
    <n v="521.66999999999996"/>
    <n v="15"/>
    <n v="0.15"/>
    <d v="2024-04-27T00:00:00"/>
    <n v="155.19999999999999"/>
    <d v="2026-09-09T15:19:03"/>
    <d v="2024-04-01T00:00:00"/>
  </r>
  <r>
    <s v="CUST005"/>
    <s v="Sarah Anderson"/>
    <x v="2"/>
    <x v="2"/>
    <n v="1502.93"/>
    <n v="14"/>
    <n v="0.2"/>
    <d v="2024-04-28T00:00:00"/>
    <n v="300.58999999999997"/>
    <d v="2026-09-09T15:19:03"/>
    <d v="2024-04-01T00:00:00"/>
  </r>
  <r>
    <s v="CUST008"/>
    <s v="Robert Anderson"/>
    <x v="2"/>
    <x v="0"/>
    <n v="877.58"/>
    <n v="10"/>
    <n v="0.15"/>
    <d v="2024-04-29T00:00:00"/>
    <n v="298.38"/>
    <d v="2026-09-09T15:19:03"/>
    <d v="2024-04-01T00:00:00"/>
  </r>
  <r>
    <s v="CUST001"/>
    <s v="Lisa Thomas"/>
    <x v="0"/>
    <x v="0"/>
    <n v="636.70000000000005"/>
    <n v="4"/>
    <n v="0.2"/>
    <d v="2024-04-29T00:00:00"/>
    <n v="203.74"/>
    <d v="2026-09-09T15:19:03"/>
    <d v="2024-04-01T00:00:00"/>
  </r>
  <r>
    <s v="CUST006"/>
    <s v="Mary Jackson"/>
    <x v="0"/>
    <x v="0"/>
    <n v="1506.14"/>
    <n v="13"/>
    <n v="0.2"/>
    <d v="2024-04-30T00:00:00"/>
    <n v="481.96"/>
    <d v="2026-09-09T15:19:03"/>
    <d v="2024-04-01T00:00:00"/>
  </r>
  <r>
    <s v="CUST026"/>
    <s v="Mary Davis"/>
    <x v="4"/>
    <x v="2"/>
    <n v="645.02"/>
    <n v="4"/>
    <n v="0"/>
    <d v="2024-05-02T00:00:00"/>
    <n v="161.26"/>
    <d v="2026-09-09T15:19:03"/>
    <d v="2024-05-01T00:00:00"/>
  </r>
  <r>
    <s v="CUST007"/>
    <s v="Lisa Davis"/>
    <x v="2"/>
    <x v="1"/>
    <n v="953.3"/>
    <n v="11"/>
    <n v="0"/>
    <d v="2024-05-03T00:00:00"/>
    <n v="476.65"/>
    <d v="2026-09-09T15:19:03"/>
    <d v="2024-05-01T00:00:00"/>
  </r>
  <r>
    <s v="CUST022"/>
    <s v="Robert Anderson"/>
    <x v="3"/>
    <x v="2"/>
    <n v="388.56"/>
    <n v="14"/>
    <n v="0.15"/>
    <d v="2024-05-04T00:00:00"/>
    <n v="82.57"/>
    <d v="2026-09-09T15:19:03"/>
    <d v="2024-05-01T00:00:00"/>
  </r>
  <r>
    <s v="CUST019"/>
    <s v="Mary Davis"/>
    <x v="0"/>
    <x v="0"/>
    <n v="743.17"/>
    <n v="9"/>
    <n v="0"/>
    <d v="2024-05-04T00:00:00"/>
    <n v="297.27"/>
    <d v="2026-09-09T15:19:03"/>
    <d v="2024-05-01T00:00:00"/>
  </r>
  <r>
    <s v="CUST023"/>
    <s v="Mary Davis"/>
    <x v="4"/>
    <x v="2"/>
    <n v="706.37"/>
    <n v="6"/>
    <n v="0"/>
    <d v="2024-05-04T00:00:00"/>
    <n v="176.59"/>
    <d v="2026-09-09T15:19:03"/>
    <d v="2024-05-01T00:00:00"/>
  </r>
  <r>
    <s v="CUST012"/>
    <s v="Mary Davis"/>
    <x v="4"/>
    <x v="4"/>
    <n v="925.31"/>
    <n v="8"/>
    <n v="0.1"/>
    <d v="2024-05-06T00:00:00"/>
    <n v="374.75"/>
    <d v="2026-09-09T15:19:03"/>
    <d v="2024-05-01T00:00:00"/>
  </r>
  <r>
    <s v="CUST010"/>
    <s v="Linda Brown"/>
    <x v="2"/>
    <x v="2"/>
    <n v="1173.1199999999999"/>
    <n v="18"/>
    <n v="0"/>
    <d v="2024-05-06T00:00:00"/>
    <n v="293.27999999999997"/>
    <d v="2026-09-09T15:19:03"/>
    <d v="2024-05-01T00:00:00"/>
  </r>
  <r>
    <s v="CUST030"/>
    <s v="John Brown"/>
    <x v="3"/>
    <x v="3"/>
    <n v="675.54"/>
    <n v="17"/>
    <n v="0"/>
    <d v="2024-05-08T00:00:00"/>
    <n v="236.44"/>
    <d v="2026-09-09T15:19:03"/>
    <d v="2024-05-01T00:00:00"/>
  </r>
  <r>
    <s v="CUST007"/>
    <s v="Robert Anderson"/>
    <x v="4"/>
    <x v="0"/>
    <n v="939.09"/>
    <n v="2"/>
    <n v="0.05"/>
    <d v="2024-05-10T00:00:00"/>
    <n v="356.85"/>
    <d v="2026-09-09T15:19:03"/>
    <d v="2024-05-01T00:00:00"/>
  </r>
  <r>
    <s v="CUST028"/>
    <s v="Linda Taylor"/>
    <x v="1"/>
    <x v="4"/>
    <n v="983.34"/>
    <n v="19"/>
    <n v="0.1"/>
    <d v="2024-05-14T00:00:00"/>
    <n v="398.25"/>
    <d v="2026-09-09T15:19:03"/>
    <d v="2024-05-01T00:00:00"/>
  </r>
  <r>
    <s v="CUST028"/>
    <s v="James Wilson"/>
    <x v="2"/>
    <x v="2"/>
    <n v="801.21"/>
    <n v="3"/>
    <n v="0.2"/>
    <d v="2024-05-14T00:00:00"/>
    <n v="160.24"/>
    <d v="2026-09-09T15:19:03"/>
    <d v="2024-05-01T00:00:00"/>
  </r>
  <r>
    <s v="CUST025"/>
    <s v="David Brown"/>
    <x v="3"/>
    <x v="2"/>
    <n v="1450.71"/>
    <n v="5"/>
    <n v="0.1"/>
    <d v="2024-05-15T00:00:00"/>
    <n v="326.41000000000003"/>
    <d v="2026-09-09T15:19:03"/>
    <d v="2024-05-01T00:00:00"/>
  </r>
  <r>
    <s v="CUST022"/>
    <s v="David Davis"/>
    <x v="4"/>
    <x v="0"/>
    <n v="1023.21"/>
    <n v="18"/>
    <n v="0.05"/>
    <d v="2024-05-16T00:00:00"/>
    <n v="388.82"/>
    <d v="2026-09-09T15:19:03"/>
    <d v="2024-05-01T00:00:00"/>
  </r>
  <r>
    <s v="CUST001"/>
    <s v="Mary Jackson"/>
    <x v="0"/>
    <x v="3"/>
    <n v="853.72"/>
    <n v="5"/>
    <n v="0.15"/>
    <d v="2024-05-16T00:00:00"/>
    <n v="253.98"/>
    <d v="2026-09-09T15:19:03"/>
    <d v="2024-05-01T00:00:00"/>
  </r>
  <r>
    <s v="CUST021"/>
    <s v="Sarah Anderson"/>
    <x v="2"/>
    <x v="2"/>
    <n v="967.89"/>
    <n v="10"/>
    <n v="0.1"/>
    <d v="2024-05-17T00:00:00"/>
    <n v="217.78"/>
    <d v="2026-09-09T15:19:03"/>
    <d v="2024-05-01T00:00:00"/>
  </r>
  <r>
    <s v="CUST015"/>
    <s v="Linda Taylor"/>
    <x v="3"/>
    <x v="4"/>
    <n v="1200.9000000000001"/>
    <n v="14"/>
    <n v="0.05"/>
    <d v="2024-05-17T00:00:00"/>
    <n v="513.38"/>
    <d v="2026-09-09T15:19:03"/>
    <d v="2024-05-01T00:00:00"/>
  </r>
  <r>
    <s v="CUST012"/>
    <s v="Michael Anderson"/>
    <x v="0"/>
    <x v="0"/>
    <n v="472.38"/>
    <n v="12"/>
    <n v="0.2"/>
    <d v="2024-05-17T00:00:00"/>
    <n v="151.16"/>
    <d v="2026-09-09T15:19:03"/>
    <d v="2024-05-01T00:00:00"/>
  </r>
  <r>
    <s v="CUST019"/>
    <s v="David Brown"/>
    <x v="1"/>
    <x v="4"/>
    <n v="840.92"/>
    <n v="9"/>
    <n v="0.05"/>
    <d v="2024-05-17T00:00:00"/>
    <n v="359.49"/>
    <d v="2026-09-09T15:19:03"/>
    <d v="2024-05-01T00:00:00"/>
  </r>
  <r>
    <s v="CUST028"/>
    <s v="Lisa Davis"/>
    <x v="4"/>
    <x v="3"/>
    <n v="1410.06"/>
    <n v="11"/>
    <n v="0.05"/>
    <d v="2024-05-22T00:00:00"/>
    <n v="468.84"/>
    <d v="2026-09-09T15:19:03"/>
    <d v="2024-05-01T00:00:00"/>
  </r>
  <r>
    <s v="CUST008"/>
    <s v="Mary Wilson"/>
    <x v="4"/>
    <x v="3"/>
    <n v="773.09"/>
    <n v="13"/>
    <n v="0.15"/>
    <d v="2024-05-22T00:00:00"/>
    <n v="229.99"/>
    <d v="2026-09-09T15:19:03"/>
    <d v="2024-05-01T00:00:00"/>
  </r>
  <r>
    <s v="CUST016"/>
    <s v="Emma Wilson"/>
    <x v="1"/>
    <x v="0"/>
    <n v="580.42999999999995"/>
    <n v="19"/>
    <n v="0.15"/>
    <d v="2024-05-23T00:00:00"/>
    <n v="197.35"/>
    <d v="2026-09-09T15:19:03"/>
    <d v="2024-05-01T00:00:00"/>
  </r>
  <r>
    <s v="CUST005"/>
    <s v="David Smith"/>
    <x v="2"/>
    <x v="0"/>
    <n v="1151.21"/>
    <n v="15"/>
    <n v="0.1"/>
    <d v="2024-06-02T00:00:00"/>
    <n v="414.44"/>
    <d v="2026-09-09T15:19:03"/>
    <d v="2024-06-01T00:00:00"/>
  </r>
  <r>
    <s v="CUST028"/>
    <s v="James Wilson"/>
    <x v="4"/>
    <x v="4"/>
    <n v="1025.98"/>
    <n v="5"/>
    <n v="0.2"/>
    <d v="2024-06-04T00:00:00"/>
    <n v="369.35"/>
    <d v="2026-09-09T15:19:03"/>
    <d v="2024-06-01T00:00:00"/>
  </r>
  <r>
    <s v="CUST023"/>
    <s v="David Davis"/>
    <x v="1"/>
    <x v="4"/>
    <n v="556.41999999999996"/>
    <n v="11"/>
    <n v="0.15"/>
    <d v="2024-06-04T00:00:00"/>
    <n v="212.83"/>
    <d v="2026-09-09T15:19:03"/>
    <d v="2024-06-01T00:00:00"/>
  </r>
  <r>
    <s v="CUST021"/>
    <s v="James Wilson"/>
    <x v="4"/>
    <x v="0"/>
    <n v="840.85"/>
    <n v="19"/>
    <n v="0.1"/>
    <d v="2024-06-05T00:00:00"/>
    <n v="302.70999999999998"/>
    <d v="2026-09-09T15:19:03"/>
    <d v="2024-06-01T00:00:00"/>
  </r>
  <r>
    <s v="CUST026"/>
    <s v="Emma Wilson"/>
    <x v="3"/>
    <x v="3"/>
    <n v="1227.25"/>
    <n v="12"/>
    <n v="0.15"/>
    <d v="2024-06-05T00:00:00"/>
    <n v="365.11"/>
    <d v="2026-09-09T15:19:03"/>
    <d v="2024-06-01T00:00:00"/>
  </r>
  <r>
    <s v="CUST017"/>
    <s v="Linda Davis"/>
    <x v="4"/>
    <x v="2"/>
    <n v="856.7"/>
    <n v="2"/>
    <n v="0"/>
    <d v="2024-06-06T00:00:00"/>
    <n v="214.18"/>
    <d v="2026-09-09T15:19:03"/>
    <d v="2024-06-01T00:00:00"/>
  </r>
  <r>
    <s v="CUST025"/>
    <s v="David Davis"/>
    <x v="4"/>
    <x v="4"/>
    <n v="1225.42"/>
    <n v="8"/>
    <n v="0.15"/>
    <d v="2024-06-06T00:00:00"/>
    <n v="468.72"/>
    <d v="2026-09-09T15:19:03"/>
    <d v="2024-06-01T00:00:00"/>
  </r>
  <r>
    <s v="CUST011"/>
    <s v="Mary Davis"/>
    <x v="3"/>
    <x v="4"/>
    <n v="1001.57"/>
    <n v="12"/>
    <n v="0"/>
    <d v="2024-06-07T00:00:00"/>
    <n v="450.71"/>
    <d v="2026-09-09T15:19:03"/>
    <d v="2024-06-01T00:00:00"/>
  </r>
  <r>
    <s v="CUST021"/>
    <s v="Michael Anderson"/>
    <x v="1"/>
    <x v="3"/>
    <n v="1186.8499999999999"/>
    <n v="19"/>
    <n v="0.2"/>
    <d v="2024-06-08T00:00:00"/>
    <n v="332.32"/>
    <d v="2026-09-09T15:19:03"/>
    <d v="2024-06-01T00:00:00"/>
  </r>
  <r>
    <s v="CUST008"/>
    <s v="John Brown"/>
    <x v="2"/>
    <x v="2"/>
    <n v="775.45"/>
    <n v="6"/>
    <n v="0.1"/>
    <d v="2024-06-14T00:00:00"/>
    <n v="174.48"/>
    <d v="2026-09-09T15:19:03"/>
    <d v="2024-06-01T00:00:00"/>
  </r>
  <r>
    <s v="CUST007"/>
    <s v="Linda Jackson"/>
    <x v="2"/>
    <x v="2"/>
    <n v="1021.47"/>
    <n v="6"/>
    <n v="0.05"/>
    <d v="2024-06-18T00:00:00"/>
    <n v="242.6"/>
    <d v="2026-09-09T15:19:03"/>
    <d v="2024-06-01T00:00:00"/>
  </r>
  <r>
    <s v="CUST015"/>
    <s v="James Wilson"/>
    <x v="2"/>
    <x v="1"/>
    <n v="1226.6199999999999"/>
    <n v="7"/>
    <n v="0.1"/>
    <d v="2024-06-20T00:00:00"/>
    <n v="551.98"/>
    <d v="2026-09-09T15:19:03"/>
    <d v="2024-06-01T00:00:00"/>
  </r>
  <r>
    <s v="CUST030"/>
    <s v="Sarah Davis"/>
    <x v="2"/>
    <x v="3"/>
    <n v="1086.93"/>
    <n v="2"/>
    <n v="0"/>
    <d v="2024-06-21T00:00:00"/>
    <n v="380.43"/>
    <d v="2026-09-09T15:19:03"/>
    <d v="2024-06-01T00:00:00"/>
  </r>
  <r>
    <s v="CUST002"/>
    <s v="Lisa Davis"/>
    <x v="0"/>
    <x v="0"/>
    <n v="942.9"/>
    <n v="18"/>
    <n v="0.1"/>
    <d v="2024-06-23T00:00:00"/>
    <n v="339.44"/>
    <d v="2026-09-09T15:19:03"/>
    <d v="2024-06-01T00:00:00"/>
  </r>
  <r>
    <s v="CUST009"/>
    <s v="Emma Davis"/>
    <x v="3"/>
    <x v="2"/>
    <n v="818.8"/>
    <n v="15"/>
    <n v="0.15"/>
    <d v="2024-06-25T00:00:00"/>
    <n v="173.99"/>
    <d v="2026-09-09T15:19:03"/>
    <d v="2024-06-01T00:00:00"/>
  </r>
  <r>
    <s v="CUST005"/>
    <s v="Robert Anderson"/>
    <x v="2"/>
    <x v="3"/>
    <n v="919.04"/>
    <n v="10"/>
    <n v="0.2"/>
    <d v="2024-06-25T00:00:00"/>
    <n v="257.33"/>
    <d v="2026-09-09T15:19:03"/>
    <d v="2024-06-01T00:00:00"/>
  </r>
  <r>
    <s v="CUST030"/>
    <s v="Emma Taylor"/>
    <x v="4"/>
    <x v="0"/>
    <n v="973.26"/>
    <n v="11"/>
    <n v="0"/>
    <d v="2024-06-27T00:00:00"/>
    <n v="389.3"/>
    <d v="2026-09-09T15:19:03"/>
    <d v="2024-06-01T00:00:00"/>
  </r>
  <r>
    <s v="CUST029"/>
    <s v="Sarah Davis"/>
    <x v="3"/>
    <x v="2"/>
    <n v="741.61"/>
    <n v="1"/>
    <n v="0.2"/>
    <d v="2024-06-28T00:00:00"/>
    <n v="148.32"/>
    <d v="2026-09-09T15:19:03"/>
    <d v="2024-06-01T00:00:00"/>
  </r>
  <r>
    <s v="CUST003"/>
    <s v="Emma Davis"/>
    <x v="3"/>
    <x v="0"/>
    <n v="1248.82"/>
    <n v="2"/>
    <n v="0.1"/>
    <d v="2024-06-30T00:00:00"/>
    <n v="449.58"/>
    <d v="2026-09-09T15:19:03"/>
    <d v="2024-06-01T00:00:00"/>
  </r>
  <r>
    <s v="CUST012"/>
    <s v="Mary Wilson"/>
    <x v="0"/>
    <x v="1"/>
    <n v="1360.36"/>
    <n v="17"/>
    <n v="0"/>
    <d v="2024-06-30T00:00:00"/>
    <n v="680.18"/>
    <d v="2026-09-09T15:19:03"/>
    <d v="2024-06-01T00:00:00"/>
  </r>
  <r>
    <s v="CUST021"/>
    <s v="Mary Davis"/>
    <x v="1"/>
    <x v="0"/>
    <n v="1383.3"/>
    <n v="8"/>
    <n v="0.1"/>
    <d v="2024-07-05T00:00:00"/>
    <n v="497.99"/>
    <d v="2026-09-09T15:19:03"/>
    <d v="2024-07-01T00:00:00"/>
  </r>
  <r>
    <s v="CUST010"/>
    <s v="David Brown"/>
    <x v="4"/>
    <x v="4"/>
    <n v="488.99"/>
    <n v="9"/>
    <n v="0"/>
    <d v="2024-07-06T00:00:00"/>
    <n v="220.05"/>
    <d v="2026-09-09T15:19:03"/>
    <d v="2024-07-01T00:00:00"/>
  </r>
  <r>
    <s v="CUST026"/>
    <s v="Mary Davis"/>
    <x v="1"/>
    <x v="3"/>
    <n v="933.71"/>
    <n v="17"/>
    <n v="0.1"/>
    <d v="2024-07-08T00:00:00"/>
    <n v="294.12"/>
    <d v="2026-09-09T15:19:03"/>
    <d v="2024-07-01T00:00:00"/>
  </r>
  <r>
    <s v="CUST003"/>
    <s v="James Davis"/>
    <x v="0"/>
    <x v="2"/>
    <n v="1005.53"/>
    <n v="17"/>
    <n v="0.2"/>
    <d v="2024-07-08T00:00:00"/>
    <n v="201.11"/>
    <d v="2026-09-09T15:19:03"/>
    <d v="2024-07-01T00:00:00"/>
  </r>
  <r>
    <s v="CUST029"/>
    <s v="Emma Wilson"/>
    <x v="2"/>
    <x v="2"/>
    <n v="1100.0999999999999"/>
    <n v="5"/>
    <n v="0.05"/>
    <d v="2024-07-09T00:00:00"/>
    <n v="261.27"/>
    <d v="2026-09-09T15:19:03"/>
    <d v="2024-07-01T00:00:00"/>
  </r>
  <r>
    <s v="CUST003"/>
    <s v="James Wilson"/>
    <x v="3"/>
    <x v="3"/>
    <n v="1034.7"/>
    <n v="15"/>
    <n v="0.15"/>
    <d v="2024-07-14T00:00:00"/>
    <n v="307.82"/>
    <d v="2026-09-09T15:19:03"/>
    <d v="2024-07-01T00:00:00"/>
  </r>
  <r>
    <s v="CUST002"/>
    <s v="Mary Davis"/>
    <x v="2"/>
    <x v="0"/>
    <n v="876.44"/>
    <n v="12"/>
    <n v="0.05"/>
    <d v="2024-07-15T00:00:00"/>
    <n v="333.05"/>
    <d v="2026-09-09T15:19:03"/>
    <d v="2024-07-01T00:00:00"/>
  </r>
  <r>
    <s v="CUST020"/>
    <s v="David Brown"/>
    <x v="0"/>
    <x v="3"/>
    <n v="1371.34"/>
    <n v="5"/>
    <n v="0.05"/>
    <d v="2024-07-15T00:00:00"/>
    <n v="455.97"/>
    <d v="2026-09-09T15:19:03"/>
    <d v="2024-07-01T00:00:00"/>
  </r>
  <r>
    <s v="CUST021"/>
    <s v="Mary Jackson"/>
    <x v="3"/>
    <x v="2"/>
    <n v="1020.26"/>
    <n v="11"/>
    <n v="0.05"/>
    <d v="2024-07-21T00:00:00"/>
    <n v="242.31"/>
    <d v="2026-09-09T15:19:03"/>
    <d v="2024-07-01T00:00:00"/>
  </r>
  <r>
    <s v="CUST008"/>
    <s v="James Davis"/>
    <x v="4"/>
    <x v="4"/>
    <n v="804.81"/>
    <n v="1"/>
    <n v="0.05"/>
    <d v="2024-07-29T00:00:00"/>
    <n v="344.06"/>
    <d v="2026-09-09T15:19:03"/>
    <d v="2024-07-01T00:00:00"/>
  </r>
  <r>
    <s v="CUST030"/>
    <s v="David Brown"/>
    <x v="4"/>
    <x v="2"/>
    <n v="608.66"/>
    <n v="1"/>
    <n v="0.05"/>
    <d v="2024-07-30T00:00:00"/>
    <n v="144.56"/>
    <d v="2026-09-09T15:19:03"/>
    <d v="2024-07-01T00:00:00"/>
  </r>
  <r>
    <s v="CUST020"/>
    <s v="Linda Moore"/>
    <x v="2"/>
    <x v="4"/>
    <n v="981.2"/>
    <n v="19"/>
    <n v="0"/>
    <d v="2024-07-31T00:00:00"/>
    <n v="441.54"/>
    <d v="2026-09-09T15:19:03"/>
    <d v="2024-07-01T00:00:00"/>
  </r>
  <r>
    <s v="CUST024"/>
    <s v="David Brown"/>
    <x v="1"/>
    <x v="2"/>
    <n v="539.77"/>
    <n v="10"/>
    <n v="0.15"/>
    <d v="2024-08-05T00:00:00"/>
    <n v="114.7"/>
    <d v="2026-09-09T15:19:03"/>
    <d v="2024-08-01T00:00:00"/>
  </r>
  <r>
    <s v="CUST012"/>
    <s v="David Anderson"/>
    <x v="2"/>
    <x v="0"/>
    <n v="804.45"/>
    <n v="5"/>
    <n v="0.2"/>
    <d v="2024-08-05T00:00:00"/>
    <n v="257.42"/>
    <d v="2026-09-09T15:19:03"/>
    <d v="2024-08-01T00:00:00"/>
  </r>
  <r>
    <s v="CUST024"/>
    <s v="Emma Davis"/>
    <x v="0"/>
    <x v="2"/>
    <n v="1526.6"/>
    <n v="13"/>
    <n v="0.2"/>
    <d v="2024-08-08T00:00:00"/>
    <n v="305.32"/>
    <d v="2026-09-09T15:19:03"/>
    <d v="2024-08-01T00:00:00"/>
  </r>
  <r>
    <s v="CUST012"/>
    <s v="Linda Wilson"/>
    <x v="0"/>
    <x v="2"/>
    <n v="1215.26"/>
    <n v="5"/>
    <n v="0.15"/>
    <d v="2024-08-09T00:00:00"/>
    <n v="258.24"/>
    <d v="2026-09-09T15:19:03"/>
    <d v="2024-08-01T00:00:00"/>
  </r>
  <r>
    <s v="CUST005"/>
    <s v="Linda Taylor"/>
    <x v="4"/>
    <x v="3"/>
    <n v="1261.3399999999999"/>
    <n v="3"/>
    <n v="0"/>
    <d v="2024-08-15T00:00:00"/>
    <n v="441.47"/>
    <d v="2026-09-09T15:19:03"/>
    <d v="2024-08-01T00:00:00"/>
  </r>
  <r>
    <s v="CUST004"/>
    <s v="Lisa Thomas"/>
    <x v="3"/>
    <x v="3"/>
    <n v="518.07000000000005"/>
    <n v="7"/>
    <n v="0.05"/>
    <d v="2024-08-18T00:00:00"/>
    <n v="172.26"/>
    <d v="2026-09-09T15:19:03"/>
    <d v="2024-08-01T00:00:00"/>
  </r>
  <r>
    <s v="CUST026"/>
    <s v="Linda Wilson"/>
    <x v="0"/>
    <x v="4"/>
    <n v="1111.3399999999999"/>
    <n v="1"/>
    <n v="0"/>
    <d v="2024-08-19T00:00:00"/>
    <n v="500.1"/>
    <d v="2026-09-09T15:19:03"/>
    <d v="2024-08-01T00:00:00"/>
  </r>
  <r>
    <s v="CUST030"/>
    <s v="Mary Davis"/>
    <x v="1"/>
    <x v="1"/>
    <n v="1291.47"/>
    <n v="18"/>
    <n v="0.1"/>
    <d v="2024-08-22T00:00:00"/>
    <n v="581.16"/>
    <d v="2026-09-09T15:19:03"/>
    <d v="2024-08-01T00:00:00"/>
  </r>
  <r>
    <s v="CUST007"/>
    <s v="David Brown"/>
    <x v="3"/>
    <x v="0"/>
    <n v="679.71"/>
    <n v="19"/>
    <n v="0"/>
    <d v="2024-08-30T00:00:00"/>
    <n v="271.88"/>
    <d v="2026-09-09T15:19:03"/>
    <d v="2024-08-01T00:00:00"/>
  </r>
  <r>
    <s v="CUST020"/>
    <s v="Linda Jackson"/>
    <x v="1"/>
    <x v="3"/>
    <n v="1143.69"/>
    <n v="17"/>
    <n v="0"/>
    <d v="2024-08-30T00:00:00"/>
    <n v="400.29"/>
    <d v="2026-09-09T15:19:03"/>
    <d v="2024-08-01T00:00:00"/>
  </r>
  <r>
    <s v="CUST028"/>
    <s v="Linda Brown"/>
    <x v="4"/>
    <x v="2"/>
    <n v="790.08"/>
    <n v="7"/>
    <n v="0.1"/>
    <d v="2024-09-01T00:00:00"/>
    <n v="177.77"/>
    <d v="2026-09-09T15:19:03"/>
    <d v="2024-09-01T00:00:00"/>
  </r>
  <r>
    <s v="CUST005"/>
    <s v="Lisa Davis"/>
    <x v="4"/>
    <x v="0"/>
    <n v="1070.68"/>
    <n v="7"/>
    <n v="0.05"/>
    <d v="2024-09-01T00:00:00"/>
    <n v="406.86"/>
    <d v="2026-09-09T15:19:03"/>
    <d v="2024-09-01T00:00:00"/>
  </r>
  <r>
    <s v="CUST015"/>
    <s v="David Thomas"/>
    <x v="0"/>
    <x v="1"/>
    <n v="1168.8900000000001"/>
    <n v="4"/>
    <n v="0.1"/>
    <d v="2024-09-09T00:00:00"/>
    <n v="526"/>
    <d v="2026-09-09T15:19:03"/>
    <d v="2024-09-01T00:00:00"/>
  </r>
  <r>
    <s v="CUST003"/>
    <s v="James Davis"/>
    <x v="2"/>
    <x v="2"/>
    <n v="1335.87"/>
    <n v="17"/>
    <n v="0"/>
    <d v="2024-09-09T00:00:00"/>
    <n v="333.97"/>
    <d v="2026-09-09T15:19:03"/>
    <d v="2024-09-01T00:00:00"/>
  </r>
  <r>
    <s v="CUST023"/>
    <s v="David Brown"/>
    <x v="1"/>
    <x v="3"/>
    <n v="873.7"/>
    <n v="9"/>
    <n v="0"/>
    <d v="2024-09-11T00:00:00"/>
    <n v="305.8"/>
    <d v="2026-09-09T15:19:03"/>
    <d v="2024-09-01T00:00:00"/>
  </r>
  <r>
    <s v="CUST004"/>
    <s v="Sarah Davis"/>
    <x v="0"/>
    <x v="4"/>
    <n v="1443.98"/>
    <n v="19"/>
    <n v="0"/>
    <d v="2024-09-12T00:00:00"/>
    <n v="649.79"/>
    <d v="2026-09-09T15:19:03"/>
    <d v="2024-09-01T00:00:00"/>
  </r>
  <r>
    <s v="CUST023"/>
    <s v="James Wilson"/>
    <x v="1"/>
    <x v="4"/>
    <n v="1154.33"/>
    <n v="11"/>
    <n v="0.15"/>
    <d v="2024-09-14T00:00:00"/>
    <n v="441.53"/>
    <d v="2026-09-09T15:19:03"/>
    <d v="2024-09-01T00:00:00"/>
  </r>
  <r>
    <s v="CUST022"/>
    <s v="Linda Brown"/>
    <x v="2"/>
    <x v="0"/>
    <n v="1264.49"/>
    <n v="16"/>
    <n v="0.05"/>
    <d v="2024-09-14T00:00:00"/>
    <n v="480.51"/>
    <d v="2026-09-09T15:19:03"/>
    <d v="2024-09-01T00:00:00"/>
  </r>
  <r>
    <s v="CUST007"/>
    <s v="Emma Taylor"/>
    <x v="0"/>
    <x v="3"/>
    <n v="1101.55"/>
    <n v="4"/>
    <n v="0.1"/>
    <d v="2024-09-16T00:00:00"/>
    <n v="346.99"/>
    <d v="2026-09-09T15:19:03"/>
    <d v="2024-09-01T00:00:00"/>
  </r>
  <r>
    <s v="CUST013"/>
    <s v="Robert Anderson"/>
    <x v="2"/>
    <x v="3"/>
    <n v="727.73"/>
    <n v="1"/>
    <n v="0.1"/>
    <d v="2024-09-17T00:00:00"/>
    <n v="229.23"/>
    <d v="2026-09-09T15:19:03"/>
    <d v="2024-09-01T00:00:00"/>
  </r>
  <r>
    <s v="CUST027"/>
    <s v="Emma Davis"/>
    <x v="1"/>
    <x v="4"/>
    <n v="875.41"/>
    <n v="13"/>
    <n v="0.15"/>
    <d v="2024-09-17T00:00:00"/>
    <n v="334.84"/>
    <d v="2026-09-09T15:19:03"/>
    <d v="2024-09-01T00:00:00"/>
  </r>
  <r>
    <s v="CUST003"/>
    <s v="James Wilson"/>
    <x v="0"/>
    <x v="2"/>
    <n v="1158.94"/>
    <n v="19"/>
    <n v="0.2"/>
    <d v="2024-09-18T00:00:00"/>
    <n v="231.79"/>
    <d v="2026-09-09T15:19:03"/>
    <d v="2024-09-01T00:00:00"/>
  </r>
  <r>
    <s v="CUST018"/>
    <s v="Mary Jackson"/>
    <x v="2"/>
    <x v="0"/>
    <n v="966.3"/>
    <n v="2"/>
    <n v="0.15"/>
    <d v="2024-09-22T00:00:00"/>
    <n v="328.54"/>
    <d v="2026-09-09T15:19:03"/>
    <d v="2024-09-01T00:00:00"/>
  </r>
  <r>
    <s v="CUST020"/>
    <s v="James Taylor"/>
    <x v="2"/>
    <x v="0"/>
    <n v="917.48"/>
    <n v="6"/>
    <n v="0"/>
    <d v="2024-09-23T00:00:00"/>
    <n v="366.99"/>
    <d v="2026-09-09T15:19:03"/>
    <d v="2024-09-01T00:00:00"/>
  </r>
  <r>
    <s v="CUST029"/>
    <s v="Emma Wilson"/>
    <x v="0"/>
    <x v="3"/>
    <n v="1172.97"/>
    <n v="7"/>
    <n v="0.15"/>
    <d v="2024-09-24T00:00:00"/>
    <n v="348.96"/>
    <d v="2026-09-09T15:19:03"/>
    <d v="2024-09-01T00:00:00"/>
  </r>
  <r>
    <s v="CUST021"/>
    <s v="James Wilson"/>
    <x v="3"/>
    <x v="1"/>
    <n v="1205.82"/>
    <n v="11"/>
    <n v="0.1"/>
    <d v="2024-09-24T00:00:00"/>
    <n v="542.62"/>
    <d v="2026-09-09T15:19:03"/>
    <d v="2024-09-01T00:00:00"/>
  </r>
  <r>
    <s v="CUST017"/>
    <s v="Sarah Davis"/>
    <x v="0"/>
    <x v="4"/>
    <n v="826.93"/>
    <n v="10"/>
    <n v="0.2"/>
    <d v="2024-09-29T00:00:00"/>
    <n v="297.69"/>
    <d v="2026-09-09T15:19:03"/>
    <d v="2024-09-01T00:00:00"/>
  </r>
  <r>
    <s v="CUST003"/>
    <s v="James Wilson"/>
    <x v="4"/>
    <x v="1"/>
    <n v="902.19"/>
    <n v="12"/>
    <n v="0"/>
    <d v="2024-09-29T00:00:00"/>
    <n v="451.1"/>
    <d v="2026-09-09T15:19:03"/>
    <d v="2024-09-01T00:00:00"/>
  </r>
  <r>
    <s v="CUST027"/>
    <s v="Emma Davis"/>
    <x v="3"/>
    <x v="0"/>
    <n v="585.97"/>
    <n v="17"/>
    <n v="0.1"/>
    <d v="2024-09-30T00:00:00"/>
    <n v="210.95"/>
    <d v="2026-09-09T15:19:03"/>
    <d v="2024-09-01T00:00:00"/>
  </r>
  <r>
    <s v="CUST016"/>
    <s v="Michael Anderson"/>
    <x v="3"/>
    <x v="1"/>
    <n v="990.19"/>
    <n v="8"/>
    <n v="0.1"/>
    <d v="2024-09-30T00:00:00"/>
    <n v="445.59"/>
    <d v="2026-09-09T15:19:03"/>
    <d v="2024-09-01T00:00:00"/>
  </r>
  <r>
    <s v="CUST008"/>
    <s v="David Davis"/>
    <x v="4"/>
    <x v="2"/>
    <n v="1014.09"/>
    <n v="13"/>
    <n v="0.2"/>
    <d v="2024-10-02T00:00:00"/>
    <n v="202.82"/>
    <d v="2026-09-09T15:19:03"/>
    <d v="2024-10-01T00:00:00"/>
  </r>
  <r>
    <s v="CUST012"/>
    <s v="Lisa Davis"/>
    <x v="3"/>
    <x v="2"/>
    <n v="925.29"/>
    <n v="17"/>
    <n v="0"/>
    <d v="2024-10-05T00:00:00"/>
    <n v="231.32"/>
    <d v="2026-09-09T15:19:03"/>
    <d v="2024-10-01T00:00:00"/>
  </r>
  <r>
    <s v="CUST025"/>
    <s v="Mary Jackson"/>
    <x v="1"/>
    <x v="3"/>
    <n v="1286.54"/>
    <n v="8"/>
    <n v="0"/>
    <d v="2024-10-10T00:00:00"/>
    <n v="450.29"/>
    <d v="2026-09-09T15:19:03"/>
    <d v="2024-10-01T00:00:00"/>
  </r>
  <r>
    <s v="CUST014"/>
    <s v="Sarah Davis"/>
    <x v="2"/>
    <x v="0"/>
    <n v="961.62"/>
    <n v="8"/>
    <n v="0.2"/>
    <d v="2024-10-12T00:00:00"/>
    <n v="307.72000000000003"/>
    <d v="2026-09-09T15:19:03"/>
    <d v="2024-10-01T00:00:00"/>
  </r>
  <r>
    <s v="CUST008"/>
    <s v="James Wilson"/>
    <x v="1"/>
    <x v="0"/>
    <n v="1081.1400000000001"/>
    <n v="19"/>
    <n v="0.15"/>
    <d v="2024-10-12T00:00:00"/>
    <n v="367.59"/>
    <d v="2026-09-09T15:19:03"/>
    <d v="2024-10-01T00:00:00"/>
  </r>
  <r>
    <s v="CUST015"/>
    <s v="James Wilson"/>
    <x v="0"/>
    <x v="1"/>
    <n v="1923.66"/>
    <n v="9"/>
    <n v="0.2"/>
    <d v="2024-10-15T00:00:00"/>
    <n v="769.46"/>
    <d v="2026-09-09T15:19:03"/>
    <d v="2024-10-01T00:00:00"/>
  </r>
  <r>
    <s v="CUST025"/>
    <s v="Emma Taylor"/>
    <x v="4"/>
    <x v="1"/>
    <n v="728.71"/>
    <n v="14"/>
    <n v="0.1"/>
    <d v="2024-10-16T00:00:00"/>
    <n v="327.92"/>
    <d v="2026-09-09T15:19:03"/>
    <d v="2024-10-01T00:00:00"/>
  </r>
  <r>
    <s v="CUST019"/>
    <s v="Linda Jackson"/>
    <x v="4"/>
    <x v="1"/>
    <n v="1301.8900000000001"/>
    <n v="7"/>
    <n v="0.15"/>
    <d v="2024-10-16T00:00:00"/>
    <n v="553.29999999999995"/>
    <d v="2026-09-09T15:19:03"/>
    <d v="2024-10-01T00:00:00"/>
  </r>
  <r>
    <s v="CUST024"/>
    <s v="Emma Taylor"/>
    <x v="1"/>
    <x v="0"/>
    <n v="980.18"/>
    <n v="16"/>
    <n v="0.1"/>
    <d v="2024-10-17T00:00:00"/>
    <n v="352.86"/>
    <d v="2026-09-09T15:19:03"/>
    <d v="2024-10-01T00:00:00"/>
  </r>
  <r>
    <s v="CUST027"/>
    <s v="James Wilson"/>
    <x v="0"/>
    <x v="1"/>
    <n v="697.57"/>
    <n v="17"/>
    <n v="0.1"/>
    <d v="2024-10-19T00:00:00"/>
    <n v="313.91000000000003"/>
    <d v="2026-09-09T15:19:03"/>
    <d v="2024-10-01T00:00:00"/>
  </r>
  <r>
    <s v="CUST006"/>
    <s v="David Anderson"/>
    <x v="0"/>
    <x v="3"/>
    <n v="1193.6099999999999"/>
    <n v="1"/>
    <n v="0.15"/>
    <d v="2024-10-19T00:00:00"/>
    <n v="355.1"/>
    <d v="2026-09-09T15:19:03"/>
    <d v="2024-10-01T00:00:00"/>
  </r>
  <r>
    <s v="CUST009"/>
    <s v="Emma Davis"/>
    <x v="2"/>
    <x v="2"/>
    <n v="771.02"/>
    <n v="1"/>
    <n v="0"/>
    <d v="2024-10-20T00:00:00"/>
    <n v="192.76"/>
    <d v="2026-09-09T15:19:03"/>
    <d v="2024-10-01T00:00:00"/>
  </r>
  <r>
    <s v="CUST003"/>
    <s v="Linda Moore"/>
    <x v="3"/>
    <x v="1"/>
    <n v="661.09"/>
    <n v="1"/>
    <n v="0.2"/>
    <d v="2024-10-28T00:00:00"/>
    <n v="264.44"/>
    <d v="2026-09-09T15:19:03"/>
    <d v="2024-10-01T00:00:00"/>
  </r>
  <r>
    <s v="CUST012"/>
    <s v="David Brown"/>
    <x v="0"/>
    <x v="2"/>
    <n v="688.83"/>
    <n v="15"/>
    <n v="0"/>
    <d v="2024-10-30T00:00:00"/>
    <n v="172.21"/>
    <d v="2026-09-09T15:19:03"/>
    <d v="2024-10-01T00:00:00"/>
  </r>
  <r>
    <s v="CUST013"/>
    <s v="Linda Wilson"/>
    <x v="4"/>
    <x v="0"/>
    <n v="1249.0999999999999"/>
    <n v="4"/>
    <n v="0.05"/>
    <d v="2024-11-01T00:00:00"/>
    <n v="474.66"/>
    <d v="2026-09-09T15:19:03"/>
    <d v="2024-11-01T00:00:00"/>
  </r>
  <r>
    <s v="CUST008"/>
    <s v="James Wilson"/>
    <x v="1"/>
    <x v="4"/>
    <n v="1014.22"/>
    <n v="14"/>
    <n v="0.05"/>
    <d v="2024-11-03T00:00:00"/>
    <n v="433.58"/>
    <d v="2026-09-09T15:19:03"/>
    <d v="2024-11-01T00:00:00"/>
  </r>
  <r>
    <s v="CUST025"/>
    <s v="Lisa Davis"/>
    <x v="1"/>
    <x v="0"/>
    <n v="1010.58"/>
    <n v="2"/>
    <n v="0.15"/>
    <d v="2024-11-09T00:00:00"/>
    <n v="343.6"/>
    <d v="2026-09-09T15:19:03"/>
    <d v="2024-11-01T00:00:00"/>
  </r>
  <r>
    <s v="CUST026"/>
    <s v="Mary Wilson"/>
    <x v="3"/>
    <x v="3"/>
    <n v="957.29"/>
    <n v="4"/>
    <n v="0.05"/>
    <d v="2024-11-09T00:00:00"/>
    <n v="318.3"/>
    <d v="2026-09-09T15:19:03"/>
    <d v="2024-11-01T00:00:00"/>
  </r>
  <r>
    <s v="CUST001"/>
    <s v="Lisa Thomas"/>
    <x v="3"/>
    <x v="3"/>
    <n v="1077.92"/>
    <n v="3"/>
    <n v="0.05"/>
    <d v="2024-11-12T00:00:00"/>
    <n v="358.41"/>
    <d v="2026-09-09T15:19:03"/>
    <d v="2024-11-01T00:00:00"/>
  </r>
  <r>
    <s v="CUST028"/>
    <s v="Linda Brown"/>
    <x v="2"/>
    <x v="1"/>
    <n v="1163.01"/>
    <n v="5"/>
    <n v="0"/>
    <d v="2024-11-15T00:00:00"/>
    <n v="581.5"/>
    <d v="2026-09-09T15:19:03"/>
    <d v="2024-11-01T00:00:00"/>
  </r>
  <r>
    <s v="CUST025"/>
    <s v="Lisa Thomas"/>
    <x v="1"/>
    <x v="4"/>
    <n v="1014.56"/>
    <n v="10"/>
    <n v="0.1"/>
    <d v="2024-11-16T00:00:00"/>
    <n v="410.9"/>
    <d v="2026-09-09T15:19:03"/>
    <d v="2024-11-01T00:00:00"/>
  </r>
  <r>
    <s v="CUST019"/>
    <s v="James Taylor"/>
    <x v="2"/>
    <x v="2"/>
    <n v="718.04"/>
    <n v="14"/>
    <n v="0"/>
    <d v="2024-11-17T00:00:00"/>
    <n v="179.51"/>
    <d v="2026-09-09T15:19:03"/>
    <d v="2024-11-01T00:00:00"/>
  </r>
  <r>
    <s v="CUST004"/>
    <s v="James Taylor"/>
    <x v="4"/>
    <x v="1"/>
    <n v="1277.8499999999999"/>
    <n v="18"/>
    <n v="0.2"/>
    <d v="2024-11-17T00:00:00"/>
    <n v="511.14"/>
    <d v="2026-09-09T15:19:03"/>
    <d v="2024-11-01T00:00:00"/>
  </r>
  <r>
    <s v="CUST024"/>
    <s v="James Wilson"/>
    <x v="3"/>
    <x v="2"/>
    <n v="706.73"/>
    <n v="1"/>
    <n v="0.15"/>
    <d v="2024-11-17T00:00:00"/>
    <n v="150.18"/>
    <d v="2026-09-09T15:19:03"/>
    <d v="2024-11-01T00:00:00"/>
  </r>
  <r>
    <s v="CUST002"/>
    <s v="Linda Brown"/>
    <x v="1"/>
    <x v="2"/>
    <n v="1410.59"/>
    <n v="15"/>
    <n v="0"/>
    <d v="2024-11-19T00:00:00"/>
    <n v="352.65"/>
    <d v="2026-09-09T15:19:03"/>
    <d v="2024-11-01T00:00:00"/>
  </r>
  <r>
    <s v="CUST009"/>
    <s v="Emma Wilson"/>
    <x v="2"/>
    <x v="3"/>
    <n v="1350.33"/>
    <n v="10"/>
    <n v="0"/>
    <d v="2024-11-19T00:00:00"/>
    <n v="472.62"/>
    <d v="2026-09-09T15:19:03"/>
    <d v="2024-11-01T00:00:00"/>
  </r>
  <r>
    <s v="CUST029"/>
    <s v="Lisa Thomas"/>
    <x v="1"/>
    <x v="2"/>
    <n v="919.18"/>
    <n v="4"/>
    <n v="0.15"/>
    <d v="2024-11-19T00:00:00"/>
    <n v="195.33"/>
    <d v="2026-09-09T15:19:03"/>
    <d v="2024-11-01T00:00:00"/>
  </r>
  <r>
    <s v="CUST027"/>
    <s v="James Wilson"/>
    <x v="0"/>
    <x v="2"/>
    <n v="258.51"/>
    <n v="19"/>
    <n v="0"/>
    <d v="2024-11-20T00:00:00"/>
    <n v="64.63"/>
    <d v="2026-09-09T15:19:03"/>
    <d v="2024-11-01T00:00:00"/>
  </r>
  <r>
    <s v="CUST011"/>
    <s v="Emma Wilson"/>
    <x v="1"/>
    <x v="0"/>
    <n v="1213.48"/>
    <n v="5"/>
    <n v="0.05"/>
    <d v="2024-11-20T00:00:00"/>
    <n v="461.12"/>
    <d v="2026-09-09T15:19:03"/>
    <d v="2024-11-01T00:00:00"/>
  </r>
  <r>
    <s v="CUST021"/>
    <s v="Emma Davis"/>
    <x v="4"/>
    <x v="0"/>
    <n v="1150.28"/>
    <n v="8"/>
    <n v="0.05"/>
    <d v="2024-11-26T00:00:00"/>
    <n v="437.11"/>
    <d v="2026-09-09T15:19:03"/>
    <d v="2024-11-01T00:00:00"/>
  </r>
  <r>
    <s v="CUST014"/>
    <s v="David Anderson"/>
    <x v="2"/>
    <x v="3"/>
    <n v="853.86"/>
    <n v="8"/>
    <n v="0.1"/>
    <d v="2024-11-26T00:00:00"/>
    <n v="268.97000000000003"/>
    <d v="2026-09-09T15:19:03"/>
    <d v="2024-11-01T00:00:00"/>
  </r>
  <r>
    <s v="CUST018"/>
    <s v="Lisa Thomas"/>
    <x v="2"/>
    <x v="2"/>
    <n v="1061.04"/>
    <n v="1"/>
    <n v="0"/>
    <d v="2024-11-28T00:00:00"/>
    <n v="265.26"/>
    <d v="2026-09-09T15:19:03"/>
    <d v="2024-11-01T00:00:00"/>
  </r>
  <r>
    <s v="CUST001"/>
    <s v="Sarah Anderson"/>
    <x v="0"/>
    <x v="2"/>
    <n v="894.55"/>
    <n v="19"/>
    <n v="0.2"/>
    <d v="2024-11-29T00:00:00"/>
    <n v="178.91"/>
    <d v="2026-09-09T15:19:03"/>
    <d v="2024-11-01T00:00:00"/>
  </r>
  <r>
    <s v="CUST007"/>
    <s v="Emma Davis"/>
    <x v="3"/>
    <x v="4"/>
    <n v="833.91"/>
    <n v="3"/>
    <n v="0.05"/>
    <d v="2024-11-30T00:00:00"/>
    <n v="356.5"/>
    <d v="2026-09-09T15:19:03"/>
    <d v="2024-11-01T00:00:00"/>
  </r>
  <r>
    <s v="CUST015"/>
    <s v="David Anderson"/>
    <x v="0"/>
    <x v="3"/>
    <n v="820.19"/>
    <n v="4"/>
    <n v="0.2"/>
    <d v="2024-12-04T00:00:00"/>
    <n v="229.65"/>
    <d v="2026-09-09T15:19:03"/>
    <d v="2024-12-01T00:00:00"/>
  </r>
  <r>
    <s v="CUST015"/>
    <s v="Emma Davis"/>
    <x v="4"/>
    <x v="2"/>
    <n v="511.74"/>
    <n v="8"/>
    <n v="0.05"/>
    <d v="2024-12-05T00:00:00"/>
    <n v="121.54"/>
    <d v="2026-09-09T15:19:03"/>
    <d v="2024-12-01T00:00:00"/>
  </r>
  <r>
    <s v="CUST002"/>
    <s v="Emma Wilson"/>
    <x v="2"/>
    <x v="3"/>
    <n v="806.03"/>
    <n v="19"/>
    <n v="0.05"/>
    <d v="2024-12-12T00:00:00"/>
    <n v="268"/>
    <d v="2026-09-09T15:19:03"/>
    <d v="2024-12-01T00:00:00"/>
  </r>
  <r>
    <s v="CUST001"/>
    <s v="Michael Anderson"/>
    <x v="4"/>
    <x v="3"/>
    <n v="1432.47"/>
    <n v="16"/>
    <n v="0.15"/>
    <d v="2024-12-14T00:00:00"/>
    <n v="426.16"/>
    <d v="2026-09-09T15:19:03"/>
    <d v="2024-12-01T00:00:00"/>
  </r>
  <r>
    <s v="CUST027"/>
    <s v="Linda Wilson"/>
    <x v="4"/>
    <x v="2"/>
    <n v="1488.58"/>
    <n v="10"/>
    <n v="0.15"/>
    <d v="2024-12-14T00:00:00"/>
    <n v="316.32"/>
    <d v="2026-09-09T15:19:03"/>
    <d v="2024-12-01T00:00:00"/>
  </r>
  <r>
    <s v="CUST026"/>
    <s v="Emma Taylor"/>
    <x v="1"/>
    <x v="0"/>
    <n v="1231.26"/>
    <n v="9"/>
    <n v="0"/>
    <d v="2024-12-20T00:00:00"/>
    <n v="492.5"/>
    <d v="2026-09-09T15:19:03"/>
    <d v="2024-12-01T00:00:00"/>
  </r>
  <r>
    <s v="CUST026"/>
    <s v="Sarah Anderson"/>
    <x v="0"/>
    <x v="2"/>
    <n v="1161.67"/>
    <n v="19"/>
    <n v="0.2"/>
    <d v="2024-12-21T00:00:00"/>
    <n v="232.33"/>
    <d v="2026-09-09T15:19:03"/>
    <d v="2024-12-01T00:00:00"/>
  </r>
  <r>
    <s v="CUST022"/>
    <s v="Lisa Thomas"/>
    <x v="4"/>
    <x v="4"/>
    <n v="388.23"/>
    <n v="16"/>
    <n v="0.05"/>
    <d v="2024-12-24T00:00:00"/>
    <n v="165.97"/>
    <d v="2026-09-09T15:19:03"/>
    <d v="2024-12-01T00:00:00"/>
  </r>
  <r>
    <s v="CUST004"/>
    <s v="Mary Davis"/>
    <x v="3"/>
    <x v="1"/>
    <n v="1589.42"/>
    <n v="6"/>
    <n v="0.15"/>
    <d v="2024-12-25T00:00:00"/>
    <n v="675.5"/>
    <d v="2026-09-09T15:19:03"/>
    <d v="2024-12-01T00:00:00"/>
  </r>
  <r>
    <s v="CUST001"/>
    <s v="David Anderson"/>
    <x v="3"/>
    <x v="1"/>
    <n v="336.66"/>
    <n v="13"/>
    <n v="0.2"/>
    <d v="2024-12-25T00:00:00"/>
    <n v="134.66"/>
    <d v="2026-09-09T15:19:03"/>
    <d v="2024-12-01T00:00:00"/>
  </r>
  <r>
    <s v="CUST022"/>
    <s v="James Wilson"/>
    <x v="0"/>
    <x v="0"/>
    <n v="1353.79"/>
    <n v="14"/>
    <n v="0.1"/>
    <d v="2024-12-30T00:00:00"/>
    <n v="487.36"/>
    <d v="2026-09-09T15:19:03"/>
    <d v="2024-12-01T00:00:00"/>
  </r>
  <r>
    <s v="CUST011"/>
    <s v="Linda Moore"/>
    <x v="4"/>
    <x v="1"/>
    <n v="662.61"/>
    <n v="11"/>
    <n v="0.05"/>
    <d v="2025-01-01T00:00:00"/>
    <n v="314.74"/>
    <d v="2026-09-09T15:19:03"/>
    <d v="2025-01-01T00:00:00"/>
  </r>
  <r>
    <s v="CUST028"/>
    <s v="Lisa Davis"/>
    <x v="3"/>
    <x v="4"/>
    <n v="309.42"/>
    <n v="1"/>
    <n v="0.2"/>
    <d v="2025-01-01T00:00:00"/>
    <n v="111.39"/>
    <d v="2026-09-09T15:19:03"/>
    <d v="2025-01-01T00:00:00"/>
  </r>
  <r>
    <s v="CUST011"/>
    <s v="Linda Wilson"/>
    <x v="3"/>
    <x v="0"/>
    <n v="884.63"/>
    <n v="18"/>
    <n v="0.1"/>
    <d v="2025-01-02T00:00:00"/>
    <n v="318.47000000000003"/>
    <d v="2026-09-09T15:19:03"/>
    <d v="2025-01-01T00:00:00"/>
  </r>
  <r>
    <s v="CUST028"/>
    <s v="James Wilson"/>
    <x v="4"/>
    <x v="4"/>
    <n v="745.05"/>
    <n v="10"/>
    <n v="0.1"/>
    <d v="2025-01-03T00:00:00"/>
    <n v="301.75"/>
    <d v="2026-09-09T15:19:03"/>
    <d v="2025-01-01T00:00:00"/>
  </r>
  <r>
    <s v="CUST016"/>
    <s v="James Taylor"/>
    <x v="2"/>
    <x v="1"/>
    <n v="870.23"/>
    <n v="5"/>
    <n v="0.05"/>
    <d v="2025-01-03T00:00:00"/>
    <n v="413.36"/>
    <d v="2026-09-09T15:19:03"/>
    <d v="2025-01-01T00:00:00"/>
  </r>
  <r>
    <s v="CUST010"/>
    <s v="Linda Wilson"/>
    <x v="0"/>
    <x v="3"/>
    <n v="862.19"/>
    <n v="18"/>
    <n v="0.05"/>
    <d v="2025-01-06T00:00:00"/>
    <n v="286.68"/>
    <d v="2026-09-09T15:19:03"/>
    <d v="2025-01-01T00:00:00"/>
  </r>
  <r>
    <s v="CUST013"/>
    <s v="Mary Wilson"/>
    <x v="3"/>
    <x v="1"/>
    <n v="1171.18"/>
    <n v="19"/>
    <n v="0.05"/>
    <d v="2025-01-10T00:00:00"/>
    <n v="556.30999999999995"/>
    <d v="2026-09-09T15:19:03"/>
    <d v="2025-01-01T00:00:00"/>
  </r>
  <r>
    <s v="CUST015"/>
    <s v="Robert Anderson"/>
    <x v="2"/>
    <x v="3"/>
    <n v="1054.56"/>
    <n v="11"/>
    <n v="0.1"/>
    <d v="2025-01-12T00:00:00"/>
    <n v="332.19"/>
    <d v="2026-09-09T15:19:03"/>
    <d v="2025-01-01T00:00:00"/>
  </r>
  <r>
    <s v="CUST015"/>
    <s v="James Wilson"/>
    <x v="3"/>
    <x v="2"/>
    <n v="1681.21"/>
    <n v="5"/>
    <n v="0.2"/>
    <d v="2025-01-13T00:00:00"/>
    <n v="336.24"/>
    <d v="2026-09-09T15:19:03"/>
    <d v="2025-01-01T00:00:00"/>
  </r>
  <r>
    <s v="CUST015"/>
    <s v="David Thomas"/>
    <x v="0"/>
    <x v="1"/>
    <n v="379.77"/>
    <n v="9"/>
    <n v="0.05"/>
    <d v="2025-01-16T00:00:00"/>
    <n v="180.39"/>
    <d v="2026-09-09T15:19:03"/>
    <d v="2025-01-01T00:00:00"/>
  </r>
  <r>
    <s v="CUST008"/>
    <s v="Lisa Thomas"/>
    <x v="4"/>
    <x v="1"/>
    <n v="1076.33"/>
    <n v="2"/>
    <n v="0.1"/>
    <d v="2025-01-17T00:00:00"/>
    <n v="484.35"/>
    <d v="2026-09-09T15:19:03"/>
    <d v="2025-01-01T00:00:00"/>
  </r>
  <r>
    <s v="CUST008"/>
    <s v="Mary Davis"/>
    <x v="4"/>
    <x v="4"/>
    <n v="1250.71"/>
    <n v="7"/>
    <n v="0"/>
    <d v="2025-01-17T00:00:00"/>
    <n v="562.82000000000005"/>
    <d v="2026-09-09T15:19:03"/>
    <d v="2025-01-01T00:00:00"/>
  </r>
  <r>
    <s v="CUST023"/>
    <s v="James Taylor"/>
    <x v="2"/>
    <x v="1"/>
    <n v="1118.3399999999999"/>
    <n v="6"/>
    <n v="0.2"/>
    <d v="2025-01-17T00:00:00"/>
    <n v="447.34"/>
    <d v="2026-09-09T15:19:03"/>
    <d v="2025-01-01T00:00:00"/>
  </r>
  <r>
    <s v="CUST024"/>
    <s v="Linda Taylor"/>
    <x v="3"/>
    <x v="1"/>
    <n v="1622.62"/>
    <n v="12"/>
    <n v="0.2"/>
    <d v="2025-01-20T00:00:00"/>
    <n v="649.04999999999995"/>
    <d v="2026-09-09T15:19:03"/>
    <d v="2025-01-01T00:00:00"/>
  </r>
  <r>
    <s v="CUST018"/>
    <s v="Lisa Davis"/>
    <x v="3"/>
    <x v="0"/>
    <n v="640.64"/>
    <n v="11"/>
    <n v="0.2"/>
    <d v="2025-01-21T00:00:00"/>
    <n v="205"/>
    <d v="2026-09-09T15:19:03"/>
    <d v="2025-01-01T00:00:00"/>
  </r>
  <r>
    <s v="CUST030"/>
    <s v="Sarah Anderson"/>
    <x v="0"/>
    <x v="1"/>
    <n v="585.16"/>
    <n v="17"/>
    <n v="0.1"/>
    <d v="2025-01-27T00:00:00"/>
    <n v="263.32"/>
    <d v="2026-09-09T15:19:03"/>
    <d v="2025-01-01T00:00:00"/>
  </r>
  <r>
    <s v="CUST030"/>
    <s v="Mary Davis"/>
    <x v="1"/>
    <x v="1"/>
    <n v="1109.98"/>
    <n v="5"/>
    <n v="0.2"/>
    <d v="2025-02-02T00:00:00"/>
    <n v="443.99"/>
    <d v="2026-09-09T15:19:03"/>
    <d v="2025-02-01T00:00:00"/>
  </r>
  <r>
    <s v="CUST015"/>
    <s v="Lisa Thomas"/>
    <x v="1"/>
    <x v="0"/>
    <n v="1098.08"/>
    <n v="9"/>
    <n v="0.1"/>
    <d v="2025-02-04T00:00:00"/>
    <n v="395.31"/>
    <d v="2026-09-09T15:19:03"/>
    <d v="2025-02-01T00:00:00"/>
  </r>
  <r>
    <s v="CUST002"/>
    <s v="Lisa Davis"/>
    <x v="0"/>
    <x v="4"/>
    <n v="827.25"/>
    <n v="7"/>
    <n v="0.1"/>
    <d v="2025-02-05T00:00:00"/>
    <n v="335.04"/>
    <d v="2026-09-09T15:19:03"/>
    <d v="2025-02-01T00:00:00"/>
  </r>
  <r>
    <s v="CUST024"/>
    <s v="Linda Wilson"/>
    <x v="4"/>
    <x v="1"/>
    <n v="741.88"/>
    <n v="16"/>
    <n v="0.1"/>
    <d v="2025-02-07T00:00:00"/>
    <n v="333.85"/>
    <d v="2026-09-09T15:19:03"/>
    <d v="2025-02-01T00:00:00"/>
  </r>
  <r>
    <s v="CUST004"/>
    <s v="James Davis"/>
    <x v="1"/>
    <x v="4"/>
    <n v="1311.26"/>
    <n v="6"/>
    <n v="0.1"/>
    <d v="2025-02-10T00:00:00"/>
    <n v="531.05999999999995"/>
    <d v="2026-09-09T15:19:03"/>
    <d v="2025-02-01T00:00:00"/>
  </r>
  <r>
    <s v="CUST004"/>
    <s v="Mary Davis"/>
    <x v="2"/>
    <x v="4"/>
    <n v="573.32000000000005"/>
    <n v="19"/>
    <n v="0.1"/>
    <d v="2025-02-15T00:00:00"/>
    <n v="232.19"/>
    <d v="2026-09-09T15:19:03"/>
    <d v="2025-02-01T00:00:00"/>
  </r>
  <r>
    <s v="CUST028"/>
    <s v="James Wilson"/>
    <x v="0"/>
    <x v="2"/>
    <n v="1115.22"/>
    <n v="14"/>
    <n v="0.2"/>
    <d v="2025-02-17T00:00:00"/>
    <n v="223.04"/>
    <d v="2026-09-09T15:19:03"/>
    <d v="2025-02-01T00:00:00"/>
  </r>
  <r>
    <s v="CUST012"/>
    <s v="Lisa Thomas"/>
    <x v="3"/>
    <x v="1"/>
    <n v="845.84"/>
    <n v="4"/>
    <n v="0"/>
    <d v="2025-02-19T00:00:00"/>
    <n v="422.92"/>
    <d v="2026-09-09T15:19:03"/>
    <d v="2025-02-01T00:00:00"/>
  </r>
  <r>
    <s v="CUST026"/>
    <s v="David Brown"/>
    <x v="0"/>
    <x v="2"/>
    <n v="1029.8"/>
    <n v="3"/>
    <n v="0"/>
    <d v="2025-02-20T00:00:00"/>
    <n v="257.45"/>
    <d v="2026-09-09T15:19:03"/>
    <d v="2025-02-01T00:00:00"/>
  </r>
  <r>
    <s v="CUST009"/>
    <s v="Mary Davis"/>
    <x v="3"/>
    <x v="0"/>
    <n v="1189.83"/>
    <n v="2"/>
    <n v="0.2"/>
    <d v="2025-02-21T00:00:00"/>
    <n v="380.75"/>
    <d v="2026-09-09T15:19:03"/>
    <d v="2025-02-01T00:00:00"/>
  </r>
  <r>
    <s v="CUST003"/>
    <s v="Sarah Anderson"/>
    <x v="2"/>
    <x v="0"/>
    <n v="704.28"/>
    <n v="15"/>
    <n v="0.2"/>
    <d v="2025-02-24T00:00:00"/>
    <n v="225.37"/>
    <d v="2026-09-09T15:19:03"/>
    <d v="2025-02-01T00:00:00"/>
  </r>
  <r>
    <s v="CUST002"/>
    <s v="Mary Jackson"/>
    <x v="4"/>
    <x v="4"/>
    <n v="1618.22"/>
    <n v="12"/>
    <n v="0.2"/>
    <d v="2025-02-24T00:00:00"/>
    <n v="582.55999999999995"/>
    <d v="2026-09-09T15:19:03"/>
    <d v="2025-02-01T00:00:00"/>
  </r>
  <r>
    <s v="CUST013"/>
    <s v="Linda Taylor"/>
    <x v="4"/>
    <x v="0"/>
    <n v="1014.43"/>
    <n v="2"/>
    <n v="0.15"/>
    <d v="2025-02-25T00:00:00"/>
    <n v="344.91"/>
    <d v="2026-09-09T15:19:03"/>
    <d v="2025-02-01T00:00:00"/>
  </r>
  <r>
    <s v="CUST018"/>
    <s v="Mary Davis"/>
    <x v="4"/>
    <x v="1"/>
    <n v="826.97"/>
    <n v="18"/>
    <n v="0.2"/>
    <d v="2025-02-27T00:00:00"/>
    <n v="330.79"/>
    <d v="2026-09-09T15:19:03"/>
    <d v="2025-02-01T00:00:00"/>
  </r>
  <r>
    <s v="CUST017"/>
    <s v="Mary Davis"/>
    <x v="4"/>
    <x v="1"/>
    <n v="1022.23"/>
    <n v="8"/>
    <n v="0.1"/>
    <d v="2025-03-01T00:00:00"/>
    <n v="460"/>
    <d v="2026-09-09T15:19:03"/>
    <d v="2025-03-01T00:00:00"/>
  </r>
  <r>
    <s v="CUST004"/>
    <s v="Linda Wilson"/>
    <x v="1"/>
    <x v="0"/>
    <n v="1099.69"/>
    <n v="6"/>
    <n v="0"/>
    <d v="2025-03-02T00:00:00"/>
    <n v="439.88"/>
    <d v="2026-09-09T15:19:03"/>
    <d v="2025-03-01T00:00:00"/>
  </r>
  <r>
    <s v="CUST028"/>
    <s v="Sarah Davis"/>
    <x v="3"/>
    <x v="0"/>
    <n v="710.52"/>
    <n v="8"/>
    <n v="0.1"/>
    <d v="2025-03-05T00:00:00"/>
    <n v="255.79"/>
    <d v="2026-09-09T15:19:03"/>
    <d v="2025-03-01T00:00:00"/>
  </r>
  <r>
    <s v="CUST028"/>
    <s v="Mary Wilson"/>
    <x v="3"/>
    <x v="0"/>
    <n v="499.18"/>
    <n v="15"/>
    <n v="0.2"/>
    <d v="2025-03-08T00:00:00"/>
    <n v="159.74"/>
    <d v="2026-09-09T15:19:03"/>
    <d v="2025-03-01T00:00:00"/>
  </r>
  <r>
    <s v="CUST014"/>
    <s v="Emma Davis"/>
    <x v="2"/>
    <x v="0"/>
    <n v="1064.19"/>
    <n v="18"/>
    <n v="0.05"/>
    <d v="2025-03-09T00:00:00"/>
    <n v="404.39"/>
    <d v="2026-09-09T15:19:03"/>
    <d v="2025-03-01T00:00:00"/>
  </r>
  <r>
    <s v="CUST003"/>
    <s v="Emma Davis"/>
    <x v="1"/>
    <x v="4"/>
    <n v="438.76"/>
    <n v="18"/>
    <n v="0.05"/>
    <d v="2025-03-10T00:00:00"/>
    <n v="187.57"/>
    <d v="2026-09-09T15:19:03"/>
    <d v="2025-03-01T00:00:00"/>
  </r>
  <r>
    <s v="CUST029"/>
    <s v="David Brown"/>
    <x v="0"/>
    <x v="1"/>
    <n v="864.98"/>
    <n v="2"/>
    <n v="0.05"/>
    <d v="2025-03-11T00:00:00"/>
    <n v="410.87"/>
    <d v="2026-09-09T15:19:03"/>
    <d v="2025-03-01T00:00:00"/>
  </r>
  <r>
    <s v="CUST021"/>
    <s v="David Brown"/>
    <x v="0"/>
    <x v="3"/>
    <n v="984.93"/>
    <n v="14"/>
    <n v="0.2"/>
    <d v="2025-03-17T00:00:00"/>
    <n v="275.77999999999997"/>
    <d v="2026-09-09T15:19:03"/>
    <d v="2025-03-01T00:00:00"/>
  </r>
  <r>
    <s v="CUST007"/>
    <s v="David Brown"/>
    <x v="0"/>
    <x v="1"/>
    <n v="1493.49"/>
    <n v="18"/>
    <n v="0"/>
    <d v="2025-03-18T00:00:00"/>
    <n v="746.74"/>
    <d v="2026-09-09T15:19:03"/>
    <d v="2025-03-01T00:00:00"/>
  </r>
  <r>
    <s v="CUST009"/>
    <s v="Linda Taylor"/>
    <x v="2"/>
    <x v="1"/>
    <n v="689.43"/>
    <n v="9"/>
    <n v="0.1"/>
    <d v="2025-03-20T00:00:00"/>
    <n v="310.24"/>
    <d v="2026-09-09T15:19:03"/>
    <d v="2025-03-01T00:00:00"/>
  </r>
  <r>
    <s v="CUST023"/>
    <s v="Mary Wilson"/>
    <x v="2"/>
    <x v="1"/>
    <n v="682.24"/>
    <n v="1"/>
    <n v="0"/>
    <d v="2025-03-22T00:00:00"/>
    <n v="341.12"/>
    <d v="2026-09-09T15:19:03"/>
    <d v="2025-03-01T00:00:00"/>
  </r>
  <r>
    <s v="CUST029"/>
    <s v="Michael Anderson"/>
    <x v="3"/>
    <x v="2"/>
    <n v="458.54"/>
    <n v="15"/>
    <n v="0.2"/>
    <d v="2025-03-25T00:00:00"/>
    <n v="91.71"/>
    <d v="2026-09-09T15:19:03"/>
    <d v="2025-03-01T00:00:00"/>
  </r>
  <r>
    <s v="CUST009"/>
    <s v="Michael Anderson"/>
    <x v="2"/>
    <x v="3"/>
    <n v="1184.25"/>
    <n v="11"/>
    <n v="0.2"/>
    <d v="2025-03-26T00:00:00"/>
    <n v="331.59"/>
    <d v="2026-09-09T15:19:03"/>
    <d v="2025-03-01T00:00:00"/>
  </r>
  <r>
    <s v="CUST007"/>
    <s v="James Davis"/>
    <x v="2"/>
    <x v="1"/>
    <n v="762.14"/>
    <n v="9"/>
    <n v="0"/>
    <d v="2025-03-27T00:00:00"/>
    <n v="381.07"/>
    <d v="2026-09-09T15:19:03"/>
    <d v="2025-03-01T00:00:00"/>
  </r>
  <r>
    <s v="CUST030"/>
    <s v="Linda Taylor"/>
    <x v="3"/>
    <x v="0"/>
    <n v="750.71"/>
    <n v="10"/>
    <n v="0.15"/>
    <d v="2025-03-27T00:00:00"/>
    <n v="255.24"/>
    <d v="2026-09-09T15:19:03"/>
    <d v="2025-03-01T00:00:00"/>
  </r>
  <r>
    <s v="CUST018"/>
    <s v="David Anderson"/>
    <x v="4"/>
    <x v="1"/>
    <n v="1456.94"/>
    <n v="14"/>
    <n v="0.05"/>
    <d v="2025-03-29T00:00:00"/>
    <n v="692.05"/>
    <d v="2026-09-09T15:19:03"/>
    <d v="2025-03-01T00:00:00"/>
  </r>
  <r>
    <s v="CUST008"/>
    <s v="Emma Wilson"/>
    <x v="1"/>
    <x v="3"/>
    <n v="1093.3800000000001"/>
    <n v="17"/>
    <n v="0.1"/>
    <d v="2025-03-29T00:00:00"/>
    <n v="344.41"/>
    <d v="2026-09-09T15:19:03"/>
    <d v="2025-03-01T00:00:00"/>
  </r>
  <r>
    <s v="CUST014"/>
    <s v="Sarah Anderson"/>
    <x v="0"/>
    <x v="1"/>
    <n v="934.27"/>
    <n v="8"/>
    <n v="0.15"/>
    <d v="2025-03-30T00:00:00"/>
    <n v="397.06"/>
    <d v="2026-09-09T15:19:03"/>
    <d v="2025-03-01T00:00:00"/>
  </r>
  <r>
    <s v="CUST024"/>
    <s v="David Thomas"/>
    <x v="4"/>
    <x v="1"/>
    <n v="1465.35"/>
    <n v="8"/>
    <n v="0.2"/>
    <d v="2025-03-30T00:00:00"/>
    <n v="586.14"/>
    <d v="2026-09-09T15:19:03"/>
    <d v="2025-03-01T00:00:00"/>
  </r>
  <r>
    <s v="CUST028"/>
    <s v="Robert Anderson"/>
    <x v="2"/>
    <x v="4"/>
    <n v="740.8"/>
    <n v="3"/>
    <n v="0"/>
    <d v="2025-04-02T00:00:00"/>
    <n v="333.36"/>
    <d v="2026-09-09T15:19:03"/>
    <d v="2025-04-01T00:00:00"/>
  </r>
  <r>
    <s v="CUST015"/>
    <s v="Sarah Anderson"/>
    <x v="0"/>
    <x v="4"/>
    <n v="545.44000000000005"/>
    <n v="17"/>
    <n v="0"/>
    <d v="2025-04-05T00:00:00"/>
    <n v="245.45"/>
    <d v="2026-09-09T15:19:03"/>
    <d v="2025-04-01T00:00:00"/>
  </r>
  <r>
    <s v="CUST010"/>
    <s v="David Thomas"/>
    <x v="1"/>
    <x v="0"/>
    <n v="997.61"/>
    <n v="8"/>
    <n v="0.05"/>
    <d v="2025-04-05T00:00:00"/>
    <n v="379.09"/>
    <d v="2026-09-09T15:19:03"/>
    <d v="2025-04-01T00:00:00"/>
  </r>
  <r>
    <s v="CUST016"/>
    <s v="David Thomas"/>
    <x v="2"/>
    <x v="1"/>
    <n v="928.32"/>
    <n v="2"/>
    <n v="0.05"/>
    <d v="2025-04-07T00:00:00"/>
    <n v="440.95"/>
    <d v="2026-09-09T15:19:03"/>
    <d v="2025-04-0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x v="0"/>
    <n v="1036.0899999999999"/>
    <n v="4"/>
    <n v="0.2"/>
    <d v="2024-04-10T00:00:00"/>
    <n v="331.55"/>
    <d v="2026-09-09T15:30:06"/>
    <d v="2024-04-01T00:00:00"/>
  </r>
  <r>
    <s v="CUST012"/>
    <s v="Robert Anderson"/>
    <s v="West"/>
    <x v="1"/>
    <n v="1101.28"/>
    <n v="3"/>
    <n v="0.2"/>
    <d v="2024-04-11T00:00:00"/>
    <n v="440.51"/>
    <d v="2026-09-09T15:30:06"/>
    <d v="2024-04-01T00:00:00"/>
  </r>
  <r>
    <s v="CUST017"/>
    <s v="James Taylor"/>
    <s v="East"/>
    <x v="0"/>
    <n v="713.34"/>
    <n v="17"/>
    <n v="0"/>
    <d v="2024-04-14T00:00:00"/>
    <n v="285.33999999999997"/>
    <d v="2026-09-09T15:30:06"/>
    <d v="2024-04-01T00:00:00"/>
  </r>
  <r>
    <s v="CUST005"/>
    <s v="Robert Anderson"/>
    <s v="South"/>
    <x v="2"/>
    <n v="760.93"/>
    <n v="4"/>
    <n v="0.15"/>
    <d v="2024-04-14T00:00:00"/>
    <n v="161.69999999999999"/>
    <d v="2026-09-09T15:30:06"/>
    <d v="2024-04-01T00:00:00"/>
  </r>
  <r>
    <s v="CUST030"/>
    <s v="James Wilson"/>
    <s v="North"/>
    <x v="0"/>
    <n v="847"/>
    <n v="12"/>
    <n v="0.2"/>
    <d v="2024-04-15T00:00:00"/>
    <n v="271.04000000000002"/>
    <d v="2026-09-09T15:30:06"/>
    <d v="2024-04-01T00:00:00"/>
  </r>
  <r>
    <s v="CUST007"/>
    <s v="Michael Anderson"/>
    <s v="North"/>
    <x v="3"/>
    <n v="965.64"/>
    <n v="8"/>
    <n v="0.1"/>
    <d v="2024-04-16T00:00:00"/>
    <n v="304.18"/>
    <d v="2026-09-09T15:30:06"/>
    <d v="2024-04-01T00:00:00"/>
  </r>
  <r>
    <s v="CUST001"/>
    <s v="Linda Wilson"/>
    <s v="West"/>
    <x v="2"/>
    <n v="1317.53"/>
    <n v="12"/>
    <n v="0.05"/>
    <d v="2024-04-16T00:00:00"/>
    <n v="312.91000000000003"/>
    <d v="2026-09-09T15:30:06"/>
    <d v="2024-04-01T00:00:00"/>
  </r>
  <r>
    <s v="CUST026"/>
    <s v="Mary Davis"/>
    <s v="East"/>
    <x v="3"/>
    <n v="1074.47"/>
    <n v="6"/>
    <n v="0.2"/>
    <d v="2024-04-19T00:00:00"/>
    <n v="300.85000000000002"/>
    <d v="2026-09-09T15:30:06"/>
    <d v="2024-04-01T00:00:00"/>
  </r>
  <r>
    <s v="CUST009"/>
    <s v="Linda Jackson"/>
    <s v="Central"/>
    <x v="0"/>
    <n v="501.54"/>
    <n v="11"/>
    <n v="0.05"/>
    <d v="2024-04-19T00:00:00"/>
    <n v="190.59"/>
    <d v="2026-09-09T15:30:06"/>
    <d v="2024-04-01T00:00:00"/>
  </r>
  <r>
    <s v="CUST010"/>
    <s v="David Thomas"/>
    <s v="Central"/>
    <x v="1"/>
    <n v="737.31"/>
    <n v="2"/>
    <n v="0.05"/>
    <d v="2024-04-19T00:00:00"/>
    <n v="350.22"/>
    <d v="2026-09-09T15:30:06"/>
    <d v="2024-04-01T00:00:00"/>
  </r>
  <r>
    <s v="CUST014"/>
    <s v="Emma Davis"/>
    <s v="West"/>
    <x v="4"/>
    <n v="1572.82"/>
    <n v="6"/>
    <n v="0.05"/>
    <d v="2024-04-20T00:00:00"/>
    <n v="672.38"/>
    <d v="2026-09-09T15:30:06"/>
    <d v="2024-04-01T00:00:00"/>
  </r>
  <r>
    <s v="CUST014"/>
    <s v="David Thomas"/>
    <s v="Central"/>
    <x v="0"/>
    <n v="1343.13"/>
    <n v="14"/>
    <n v="0.15"/>
    <d v="2024-04-22T00:00:00"/>
    <n v="456.66"/>
    <d v="2026-09-09T15:30:06"/>
    <d v="2024-04-01T00:00:00"/>
  </r>
  <r>
    <s v="CUST007"/>
    <s v="Michael Anderson"/>
    <s v="Central"/>
    <x v="0"/>
    <n v="1191.58"/>
    <n v="14"/>
    <n v="0.05"/>
    <d v="2024-04-24T00:00:00"/>
    <n v="452.8"/>
    <d v="2026-09-09T15:30:06"/>
    <d v="2024-04-01T00:00:00"/>
  </r>
  <r>
    <s v="CUST023"/>
    <s v="Robert Anderson"/>
    <s v="West"/>
    <x v="3"/>
    <n v="822.28"/>
    <n v="7"/>
    <n v="0.05"/>
    <d v="2024-04-24T00:00:00"/>
    <n v="273.41000000000003"/>
    <d v="2026-09-09T15:30:06"/>
    <d v="2024-04-01T00:00:00"/>
  </r>
  <r>
    <s v="CUST029"/>
    <s v="David Smith"/>
    <s v="North"/>
    <x v="3"/>
    <n v="521.66999999999996"/>
    <n v="15"/>
    <n v="0.15"/>
    <d v="2024-04-27T00:00:00"/>
    <n v="155.19999999999999"/>
    <d v="2026-09-09T15:30:06"/>
    <d v="2024-04-01T00:00:00"/>
  </r>
  <r>
    <s v="CUST005"/>
    <s v="Sarah Anderson"/>
    <s v="South"/>
    <x v="2"/>
    <n v="1502.93"/>
    <n v="14"/>
    <n v="0.2"/>
    <d v="2024-04-28T00:00:00"/>
    <n v="300.58999999999997"/>
    <d v="2026-09-09T15:30:06"/>
    <d v="2024-04-01T00:00:00"/>
  </r>
  <r>
    <s v="CUST008"/>
    <s v="Robert Anderson"/>
    <s v="South"/>
    <x v="0"/>
    <n v="877.58"/>
    <n v="10"/>
    <n v="0.15"/>
    <d v="2024-04-29T00:00:00"/>
    <n v="298.38"/>
    <d v="2026-09-09T15:30:06"/>
    <d v="2024-04-01T00:00:00"/>
  </r>
  <r>
    <s v="CUST001"/>
    <s v="Lisa Thomas"/>
    <s v="West"/>
    <x v="0"/>
    <n v="636.70000000000005"/>
    <n v="4"/>
    <n v="0.2"/>
    <d v="2024-04-29T00:00:00"/>
    <n v="203.74"/>
    <d v="2026-09-09T15:30:06"/>
    <d v="2024-04-01T00:00:00"/>
  </r>
  <r>
    <s v="CUST006"/>
    <s v="Mary Jackson"/>
    <s v="West"/>
    <x v="0"/>
    <n v="1506.14"/>
    <n v="13"/>
    <n v="0.2"/>
    <d v="2024-04-30T00:00:00"/>
    <n v="481.96"/>
    <d v="2026-09-09T15:30:06"/>
    <d v="2024-04-01T00:00:00"/>
  </r>
  <r>
    <s v="CUST026"/>
    <s v="Mary Davis"/>
    <s v="Central"/>
    <x v="2"/>
    <n v="645.02"/>
    <n v="4"/>
    <n v="0"/>
    <d v="2024-05-02T00:00:00"/>
    <n v="161.26"/>
    <d v="2026-09-09T15:30:06"/>
    <d v="2024-05-01T00:00:00"/>
  </r>
  <r>
    <s v="CUST007"/>
    <s v="Lisa Davis"/>
    <s v="South"/>
    <x v="1"/>
    <n v="953.3"/>
    <n v="11"/>
    <n v="0"/>
    <d v="2024-05-03T00:00:00"/>
    <n v="476.65"/>
    <d v="2026-09-09T15:30:06"/>
    <d v="2024-05-01T00:00:00"/>
  </r>
  <r>
    <s v="CUST022"/>
    <s v="Robert Anderson"/>
    <s v="North"/>
    <x v="2"/>
    <n v="388.56"/>
    <n v="14"/>
    <n v="0.15"/>
    <d v="2024-05-04T00:00:00"/>
    <n v="82.57"/>
    <d v="2026-09-09T15:30:06"/>
    <d v="2024-05-01T00:00:00"/>
  </r>
  <r>
    <s v="CUST019"/>
    <s v="Mary Davis"/>
    <s v="West"/>
    <x v="0"/>
    <n v="743.17"/>
    <n v="9"/>
    <n v="0"/>
    <d v="2024-05-04T00:00:00"/>
    <n v="297.27"/>
    <d v="2026-09-09T15:30:06"/>
    <d v="2024-05-01T00:00:00"/>
  </r>
  <r>
    <s v="CUST023"/>
    <s v="Mary Davis"/>
    <s v="Central"/>
    <x v="2"/>
    <n v="706.37"/>
    <n v="6"/>
    <n v="0"/>
    <d v="2024-05-04T00:00:00"/>
    <n v="176.59"/>
    <d v="2026-09-09T15:30:06"/>
    <d v="2024-05-01T00:00:00"/>
  </r>
  <r>
    <s v="CUST012"/>
    <s v="Mary Davis"/>
    <s v="Central"/>
    <x v="4"/>
    <n v="925.31"/>
    <n v="8"/>
    <n v="0.1"/>
    <d v="2024-05-06T00:00:00"/>
    <n v="374.75"/>
    <d v="2026-09-09T15:30:06"/>
    <d v="2024-05-01T00:00:00"/>
  </r>
  <r>
    <s v="CUST010"/>
    <s v="Linda Brown"/>
    <s v="South"/>
    <x v="2"/>
    <n v="1173.1199999999999"/>
    <n v="18"/>
    <n v="0"/>
    <d v="2024-05-06T00:00:00"/>
    <n v="293.27999999999997"/>
    <d v="2026-09-09T15:30:06"/>
    <d v="2024-05-01T00:00:00"/>
  </r>
  <r>
    <s v="CUST030"/>
    <s v="John Brown"/>
    <s v="North"/>
    <x v="3"/>
    <n v="675.54"/>
    <n v="17"/>
    <n v="0"/>
    <d v="2024-05-08T00:00:00"/>
    <n v="236.44"/>
    <d v="2026-09-09T15:30:06"/>
    <d v="2024-05-01T00:00:00"/>
  </r>
  <r>
    <s v="CUST007"/>
    <s v="Robert Anderson"/>
    <s v="Central"/>
    <x v="0"/>
    <n v="939.09"/>
    <n v="2"/>
    <n v="0.05"/>
    <d v="2024-05-10T00:00:00"/>
    <n v="356.85"/>
    <d v="2026-09-09T15:30:06"/>
    <d v="2024-05-01T00:00:00"/>
  </r>
  <r>
    <s v="CUST028"/>
    <s v="Linda Taylor"/>
    <s v="East"/>
    <x v="4"/>
    <n v="983.34"/>
    <n v="19"/>
    <n v="0.1"/>
    <d v="2024-05-14T00:00:00"/>
    <n v="398.25"/>
    <d v="2026-09-09T15:30:06"/>
    <d v="2024-05-01T00:00:00"/>
  </r>
  <r>
    <s v="CUST028"/>
    <s v="James Wilson"/>
    <s v="South"/>
    <x v="2"/>
    <n v="801.21"/>
    <n v="3"/>
    <n v="0.2"/>
    <d v="2024-05-14T00:00:00"/>
    <n v="160.24"/>
    <d v="2026-09-09T15:30:06"/>
    <d v="2024-05-01T00:00:00"/>
  </r>
  <r>
    <s v="CUST025"/>
    <s v="David Brown"/>
    <s v="North"/>
    <x v="2"/>
    <n v="1450.71"/>
    <n v="5"/>
    <n v="0.1"/>
    <d v="2024-05-15T00:00:00"/>
    <n v="326.41000000000003"/>
    <d v="2026-09-09T15:30:06"/>
    <d v="2024-05-01T00:00:00"/>
  </r>
  <r>
    <s v="CUST022"/>
    <s v="David Davis"/>
    <s v="Central"/>
    <x v="0"/>
    <n v="1023.21"/>
    <n v="18"/>
    <n v="0.05"/>
    <d v="2024-05-16T00:00:00"/>
    <n v="388.82"/>
    <d v="2026-09-09T15:30:06"/>
    <d v="2024-05-01T00:00:00"/>
  </r>
  <r>
    <s v="CUST001"/>
    <s v="Mary Jackson"/>
    <s v="West"/>
    <x v="3"/>
    <n v="853.72"/>
    <n v="5"/>
    <n v="0.15"/>
    <d v="2024-05-16T00:00:00"/>
    <n v="253.98"/>
    <d v="2026-09-09T15:30:06"/>
    <d v="2024-05-01T00:00:00"/>
  </r>
  <r>
    <s v="CUST021"/>
    <s v="Sarah Anderson"/>
    <s v="South"/>
    <x v="2"/>
    <n v="967.89"/>
    <n v="10"/>
    <n v="0.1"/>
    <d v="2024-05-17T00:00:00"/>
    <n v="217.78"/>
    <d v="2026-09-09T15:30:06"/>
    <d v="2024-05-01T00:00:00"/>
  </r>
  <r>
    <s v="CUST015"/>
    <s v="Linda Taylor"/>
    <s v="North"/>
    <x v="4"/>
    <n v="1200.9000000000001"/>
    <n v="14"/>
    <n v="0.05"/>
    <d v="2024-05-17T00:00:00"/>
    <n v="513.38"/>
    <d v="2026-09-09T15:30:06"/>
    <d v="2024-05-01T00:00:00"/>
  </r>
  <r>
    <s v="CUST012"/>
    <s v="Michael Anderson"/>
    <s v="West"/>
    <x v="0"/>
    <n v="472.38"/>
    <n v="12"/>
    <n v="0.2"/>
    <d v="2024-05-17T00:00:00"/>
    <n v="151.16"/>
    <d v="2026-09-09T15:30:06"/>
    <d v="2024-05-01T00:00:00"/>
  </r>
  <r>
    <s v="CUST019"/>
    <s v="David Brown"/>
    <s v="East"/>
    <x v="4"/>
    <n v="840.92"/>
    <n v="9"/>
    <n v="0.05"/>
    <d v="2024-05-17T00:00:00"/>
    <n v="359.49"/>
    <d v="2026-09-09T15:30:06"/>
    <d v="2024-05-01T00:00:00"/>
  </r>
  <r>
    <s v="CUST028"/>
    <s v="Lisa Davis"/>
    <s v="Central"/>
    <x v="3"/>
    <n v="1410.06"/>
    <n v="11"/>
    <n v="0.05"/>
    <d v="2024-05-22T00:00:00"/>
    <n v="468.84"/>
    <d v="2026-09-09T15:30:06"/>
    <d v="2024-05-01T00:00:00"/>
  </r>
  <r>
    <s v="CUST008"/>
    <s v="Mary Wilson"/>
    <s v="Central"/>
    <x v="3"/>
    <n v="773.09"/>
    <n v="13"/>
    <n v="0.15"/>
    <d v="2024-05-22T00:00:00"/>
    <n v="229.99"/>
    <d v="2026-09-09T15:30:06"/>
    <d v="2024-05-01T00:00:00"/>
  </r>
  <r>
    <s v="CUST016"/>
    <s v="Emma Wilson"/>
    <s v="East"/>
    <x v="0"/>
    <n v="580.42999999999995"/>
    <n v="19"/>
    <n v="0.15"/>
    <d v="2024-05-23T00:00:00"/>
    <n v="197.35"/>
    <d v="2026-09-09T15:30:06"/>
    <d v="2024-05-01T00:00:00"/>
  </r>
  <r>
    <s v="CUST005"/>
    <s v="David Smith"/>
    <s v="South"/>
    <x v="0"/>
    <n v="1151.21"/>
    <n v="15"/>
    <n v="0.1"/>
    <d v="2024-06-02T00:00:00"/>
    <n v="414.44"/>
    <d v="2026-09-09T15:30:06"/>
    <d v="2024-06-01T00:00:00"/>
  </r>
  <r>
    <s v="CUST028"/>
    <s v="James Wilson"/>
    <s v="Central"/>
    <x v="4"/>
    <n v="1025.98"/>
    <n v="5"/>
    <n v="0.2"/>
    <d v="2024-06-04T00:00:00"/>
    <n v="369.35"/>
    <d v="2026-09-09T15:30:06"/>
    <d v="2024-06-01T00:00:00"/>
  </r>
  <r>
    <s v="CUST023"/>
    <s v="David Davis"/>
    <s v="East"/>
    <x v="4"/>
    <n v="556.41999999999996"/>
    <n v="11"/>
    <n v="0.15"/>
    <d v="2024-06-04T00:00:00"/>
    <n v="212.83"/>
    <d v="2026-09-09T15:30:06"/>
    <d v="2024-06-01T00:00:00"/>
  </r>
  <r>
    <s v="CUST021"/>
    <s v="James Wilson"/>
    <s v="Central"/>
    <x v="0"/>
    <n v="840.85"/>
    <n v="19"/>
    <n v="0.1"/>
    <d v="2024-06-05T00:00:00"/>
    <n v="302.70999999999998"/>
    <d v="2026-09-09T15:30:06"/>
    <d v="2024-06-01T00:00:00"/>
  </r>
  <r>
    <s v="CUST026"/>
    <s v="Emma Wilson"/>
    <s v="North"/>
    <x v="3"/>
    <n v="1227.25"/>
    <n v="12"/>
    <n v="0.15"/>
    <d v="2024-06-05T00:00:00"/>
    <n v="365.11"/>
    <d v="2026-09-09T15:30:06"/>
    <d v="2024-06-01T00:00:00"/>
  </r>
  <r>
    <s v="CUST017"/>
    <s v="Linda Davis"/>
    <s v="Central"/>
    <x v="2"/>
    <n v="856.7"/>
    <n v="2"/>
    <n v="0"/>
    <d v="2024-06-06T00:00:00"/>
    <n v="214.18"/>
    <d v="2026-09-09T15:30:06"/>
    <d v="2024-06-01T00:00:00"/>
  </r>
  <r>
    <s v="CUST025"/>
    <s v="David Davis"/>
    <s v="Central"/>
    <x v="4"/>
    <n v="1225.42"/>
    <n v="8"/>
    <n v="0.15"/>
    <d v="2024-06-06T00:00:00"/>
    <n v="468.72"/>
    <d v="2026-09-09T15:30:06"/>
    <d v="2024-06-01T00:00:00"/>
  </r>
  <r>
    <s v="CUST011"/>
    <s v="Mary Davis"/>
    <s v="North"/>
    <x v="4"/>
    <n v="1001.57"/>
    <n v="12"/>
    <n v="0"/>
    <d v="2024-06-07T00:00:00"/>
    <n v="450.71"/>
    <d v="2026-09-09T15:30:06"/>
    <d v="2024-06-01T00:00:00"/>
  </r>
  <r>
    <s v="CUST021"/>
    <s v="Michael Anderson"/>
    <s v="East"/>
    <x v="3"/>
    <n v="1186.8499999999999"/>
    <n v="19"/>
    <n v="0.2"/>
    <d v="2024-06-08T00:00:00"/>
    <n v="332.32"/>
    <d v="2026-09-09T15:30:06"/>
    <d v="2024-06-01T00:00:00"/>
  </r>
  <r>
    <s v="CUST008"/>
    <s v="John Brown"/>
    <s v="South"/>
    <x v="2"/>
    <n v="775.45"/>
    <n v="6"/>
    <n v="0.1"/>
    <d v="2024-06-14T00:00:00"/>
    <n v="174.48"/>
    <d v="2026-09-09T15:30:06"/>
    <d v="2024-06-01T00:00:00"/>
  </r>
  <r>
    <s v="CUST007"/>
    <s v="Linda Jackson"/>
    <s v="South"/>
    <x v="2"/>
    <n v="1021.47"/>
    <n v="6"/>
    <n v="0.05"/>
    <d v="2024-06-18T00:00:00"/>
    <n v="242.6"/>
    <d v="2026-09-09T15:30:06"/>
    <d v="2024-06-01T00:00:00"/>
  </r>
  <r>
    <s v="CUST015"/>
    <s v="James Wilson"/>
    <s v="South"/>
    <x v="1"/>
    <n v="1226.6199999999999"/>
    <n v="7"/>
    <n v="0.1"/>
    <d v="2024-06-20T00:00:00"/>
    <n v="551.98"/>
    <d v="2026-09-09T15:30:06"/>
    <d v="2024-06-01T00:00:00"/>
  </r>
  <r>
    <s v="CUST030"/>
    <s v="Sarah Davis"/>
    <s v="South"/>
    <x v="3"/>
    <n v="1086.93"/>
    <n v="2"/>
    <n v="0"/>
    <d v="2024-06-21T00:00:00"/>
    <n v="380.43"/>
    <d v="2026-09-09T15:30:06"/>
    <d v="2024-06-01T00:00:00"/>
  </r>
  <r>
    <s v="CUST002"/>
    <s v="Lisa Davis"/>
    <s v="West"/>
    <x v="0"/>
    <n v="942.9"/>
    <n v="18"/>
    <n v="0.1"/>
    <d v="2024-06-23T00:00:00"/>
    <n v="339.44"/>
    <d v="2026-09-09T15:30:06"/>
    <d v="2024-06-01T00:00:00"/>
  </r>
  <r>
    <s v="CUST009"/>
    <s v="Emma Davis"/>
    <s v="North"/>
    <x v="2"/>
    <n v="818.8"/>
    <n v="15"/>
    <n v="0.15"/>
    <d v="2024-06-25T00:00:00"/>
    <n v="173.99"/>
    <d v="2026-09-09T15:30:06"/>
    <d v="2024-06-01T00:00:00"/>
  </r>
  <r>
    <s v="CUST005"/>
    <s v="Robert Anderson"/>
    <s v="South"/>
    <x v="3"/>
    <n v="919.04"/>
    <n v="10"/>
    <n v="0.2"/>
    <d v="2024-06-25T00:00:00"/>
    <n v="257.33"/>
    <d v="2026-09-09T15:30:06"/>
    <d v="2024-06-01T00:00:00"/>
  </r>
  <r>
    <s v="CUST030"/>
    <s v="Emma Taylor"/>
    <s v="Central"/>
    <x v="0"/>
    <n v="973.26"/>
    <n v="11"/>
    <n v="0"/>
    <d v="2024-06-27T00:00:00"/>
    <n v="389.3"/>
    <d v="2026-09-09T15:30:06"/>
    <d v="2024-06-01T00:00:00"/>
  </r>
  <r>
    <s v="CUST029"/>
    <s v="Sarah Davis"/>
    <s v="North"/>
    <x v="2"/>
    <n v="741.61"/>
    <n v="1"/>
    <n v="0.2"/>
    <d v="2024-06-28T00:00:00"/>
    <n v="148.32"/>
    <d v="2026-09-09T15:30:06"/>
    <d v="2024-06-01T00:00:00"/>
  </r>
  <r>
    <s v="CUST003"/>
    <s v="Emma Davis"/>
    <s v="North"/>
    <x v="0"/>
    <n v="1248.82"/>
    <n v="2"/>
    <n v="0.1"/>
    <d v="2024-06-30T00:00:00"/>
    <n v="449.58"/>
    <d v="2026-09-09T15:30:06"/>
    <d v="2024-06-01T00:00:00"/>
  </r>
  <r>
    <s v="CUST012"/>
    <s v="Mary Wilson"/>
    <s v="West"/>
    <x v="1"/>
    <n v="1360.36"/>
    <n v="17"/>
    <n v="0"/>
    <d v="2024-06-30T00:00:00"/>
    <n v="680.18"/>
    <d v="2026-09-09T15:30:06"/>
    <d v="2024-06-01T00:00:00"/>
  </r>
  <r>
    <s v="CUST021"/>
    <s v="Mary Davis"/>
    <s v="East"/>
    <x v="0"/>
    <n v="1383.3"/>
    <n v="8"/>
    <n v="0.1"/>
    <d v="2024-07-05T00:00:00"/>
    <n v="497.99"/>
    <d v="2026-09-09T15:30:06"/>
    <d v="2024-07-01T00:00:00"/>
  </r>
  <r>
    <s v="CUST010"/>
    <s v="David Brown"/>
    <s v="Central"/>
    <x v="4"/>
    <n v="488.99"/>
    <n v="9"/>
    <n v="0"/>
    <d v="2024-07-06T00:00:00"/>
    <n v="220.05"/>
    <d v="2026-09-09T15:30:06"/>
    <d v="2024-07-01T00:00:00"/>
  </r>
  <r>
    <s v="CUST026"/>
    <s v="Mary Davis"/>
    <s v="East"/>
    <x v="3"/>
    <n v="933.71"/>
    <n v="17"/>
    <n v="0.1"/>
    <d v="2024-07-08T00:00:00"/>
    <n v="294.12"/>
    <d v="2026-09-09T15:30:06"/>
    <d v="2024-07-01T00:00:00"/>
  </r>
  <r>
    <s v="CUST003"/>
    <s v="James Davis"/>
    <s v="West"/>
    <x v="2"/>
    <n v="1005.53"/>
    <n v="17"/>
    <n v="0.2"/>
    <d v="2024-07-08T00:00:00"/>
    <n v="201.11"/>
    <d v="2026-09-09T15:30:06"/>
    <d v="2024-07-01T00:00:00"/>
  </r>
  <r>
    <s v="CUST029"/>
    <s v="Emma Wilson"/>
    <s v="South"/>
    <x v="2"/>
    <n v="1100.0999999999999"/>
    <n v="5"/>
    <n v="0.05"/>
    <d v="2024-07-09T00:00:00"/>
    <n v="261.27"/>
    <d v="2026-09-09T15:30:06"/>
    <d v="2024-07-01T00:00:00"/>
  </r>
  <r>
    <s v="CUST003"/>
    <s v="James Wilson"/>
    <s v="North"/>
    <x v="3"/>
    <n v="1034.7"/>
    <n v="15"/>
    <n v="0.15"/>
    <d v="2024-07-14T00:00:00"/>
    <n v="307.82"/>
    <d v="2026-09-09T15:30:06"/>
    <d v="2024-07-01T00:00:00"/>
  </r>
  <r>
    <s v="CUST002"/>
    <s v="Mary Davis"/>
    <s v="South"/>
    <x v="0"/>
    <n v="876.44"/>
    <n v="12"/>
    <n v="0.05"/>
    <d v="2024-07-15T00:00:00"/>
    <n v="333.05"/>
    <d v="2026-09-09T15:30:06"/>
    <d v="2024-07-01T00:00:00"/>
  </r>
  <r>
    <s v="CUST020"/>
    <s v="David Brown"/>
    <s v="West"/>
    <x v="3"/>
    <n v="1371.34"/>
    <n v="5"/>
    <n v="0.05"/>
    <d v="2024-07-15T00:00:00"/>
    <n v="455.97"/>
    <d v="2026-09-09T15:30:06"/>
    <d v="2024-07-01T00:00:00"/>
  </r>
  <r>
    <s v="CUST021"/>
    <s v="Mary Jackson"/>
    <s v="North"/>
    <x v="2"/>
    <n v="1020.26"/>
    <n v="11"/>
    <n v="0.05"/>
    <d v="2024-07-21T00:00:00"/>
    <n v="242.31"/>
    <d v="2026-09-09T15:30:06"/>
    <d v="2024-07-01T00:00:00"/>
  </r>
  <r>
    <s v="CUST008"/>
    <s v="James Davis"/>
    <s v="Central"/>
    <x v="4"/>
    <n v="804.81"/>
    <n v="1"/>
    <n v="0.05"/>
    <d v="2024-07-29T00:00:00"/>
    <n v="344.06"/>
    <d v="2026-09-09T15:30:06"/>
    <d v="2024-07-01T00:00:00"/>
  </r>
  <r>
    <s v="CUST030"/>
    <s v="David Brown"/>
    <s v="Central"/>
    <x v="2"/>
    <n v="608.66"/>
    <n v="1"/>
    <n v="0.05"/>
    <d v="2024-07-30T00:00:00"/>
    <n v="144.56"/>
    <d v="2026-09-09T15:30:06"/>
    <d v="2024-07-01T00:00:00"/>
  </r>
  <r>
    <s v="CUST020"/>
    <s v="Linda Moore"/>
    <s v="South"/>
    <x v="4"/>
    <n v="981.2"/>
    <n v="19"/>
    <n v="0"/>
    <d v="2024-07-31T00:00:00"/>
    <n v="441.54"/>
    <d v="2026-09-09T15:30:06"/>
    <d v="2024-07-01T00:00:00"/>
  </r>
  <r>
    <s v="CUST024"/>
    <s v="David Brown"/>
    <s v="East"/>
    <x v="2"/>
    <n v="539.77"/>
    <n v="10"/>
    <n v="0.15"/>
    <d v="2024-08-05T00:00:00"/>
    <n v="114.7"/>
    <d v="2026-09-09T15:30:06"/>
    <d v="2024-08-01T00:00:00"/>
  </r>
  <r>
    <s v="CUST012"/>
    <s v="David Anderson"/>
    <s v="South"/>
    <x v="0"/>
    <n v="804.45"/>
    <n v="5"/>
    <n v="0.2"/>
    <d v="2024-08-05T00:00:00"/>
    <n v="257.42"/>
    <d v="2026-09-09T15:30:06"/>
    <d v="2024-08-01T00:00:00"/>
  </r>
  <r>
    <s v="CUST024"/>
    <s v="Emma Davis"/>
    <s v="West"/>
    <x v="2"/>
    <n v="1526.6"/>
    <n v="13"/>
    <n v="0.2"/>
    <d v="2024-08-08T00:00:00"/>
    <n v="305.32"/>
    <d v="2026-09-09T15:30:06"/>
    <d v="2024-08-01T00:00:00"/>
  </r>
  <r>
    <s v="CUST012"/>
    <s v="Linda Wilson"/>
    <s v="West"/>
    <x v="2"/>
    <n v="1215.26"/>
    <n v="5"/>
    <n v="0.15"/>
    <d v="2024-08-09T00:00:00"/>
    <n v="258.24"/>
    <d v="2026-09-09T15:30:06"/>
    <d v="2024-08-01T00:00:00"/>
  </r>
  <r>
    <s v="CUST005"/>
    <s v="Linda Taylor"/>
    <s v="Central"/>
    <x v="3"/>
    <n v="1261.3399999999999"/>
    <n v="3"/>
    <n v="0"/>
    <d v="2024-08-15T00:00:00"/>
    <n v="441.47"/>
    <d v="2026-09-09T15:30:06"/>
    <d v="2024-08-01T00:00:00"/>
  </r>
  <r>
    <s v="CUST004"/>
    <s v="Lisa Thomas"/>
    <s v="North"/>
    <x v="3"/>
    <n v="518.07000000000005"/>
    <n v="7"/>
    <n v="0.05"/>
    <d v="2024-08-18T00:00:00"/>
    <n v="172.26"/>
    <d v="2026-09-09T15:30:06"/>
    <d v="2024-08-01T00:00:00"/>
  </r>
  <r>
    <s v="CUST026"/>
    <s v="Linda Wilson"/>
    <s v="West"/>
    <x v="4"/>
    <n v="1111.3399999999999"/>
    <n v="1"/>
    <n v="0"/>
    <d v="2024-08-19T00:00:00"/>
    <n v="500.1"/>
    <d v="2026-09-09T15:30:06"/>
    <d v="2024-08-01T00:00:00"/>
  </r>
  <r>
    <s v="CUST030"/>
    <s v="Mary Davis"/>
    <s v="East"/>
    <x v="1"/>
    <n v="1291.47"/>
    <n v="18"/>
    <n v="0.1"/>
    <d v="2024-08-22T00:00:00"/>
    <n v="581.16"/>
    <d v="2026-09-09T15:30:06"/>
    <d v="2024-08-01T00:00:00"/>
  </r>
  <r>
    <s v="CUST007"/>
    <s v="David Brown"/>
    <s v="North"/>
    <x v="0"/>
    <n v="679.71"/>
    <n v="19"/>
    <n v="0"/>
    <d v="2024-08-30T00:00:00"/>
    <n v="271.88"/>
    <d v="2026-09-09T15:30:06"/>
    <d v="2024-08-01T00:00:00"/>
  </r>
  <r>
    <s v="CUST020"/>
    <s v="Linda Jackson"/>
    <s v="East"/>
    <x v="3"/>
    <n v="1143.69"/>
    <n v="17"/>
    <n v="0"/>
    <d v="2024-08-30T00:00:00"/>
    <n v="400.29"/>
    <d v="2026-09-09T15:30:06"/>
    <d v="2024-08-01T00:00:00"/>
  </r>
  <r>
    <s v="CUST028"/>
    <s v="Linda Brown"/>
    <s v="Central"/>
    <x v="2"/>
    <n v="790.08"/>
    <n v="7"/>
    <n v="0.1"/>
    <d v="2024-09-01T00:00:00"/>
    <n v="177.77"/>
    <d v="2026-09-09T15:30:06"/>
    <d v="2024-09-01T00:00:00"/>
  </r>
  <r>
    <s v="CUST005"/>
    <s v="Lisa Davis"/>
    <s v="Central"/>
    <x v="0"/>
    <n v="1070.68"/>
    <n v="7"/>
    <n v="0.05"/>
    <d v="2024-09-01T00:00:00"/>
    <n v="406.86"/>
    <d v="2026-09-09T15:30:06"/>
    <d v="2024-09-01T00:00:00"/>
  </r>
  <r>
    <s v="CUST015"/>
    <s v="David Thomas"/>
    <s v="West"/>
    <x v="1"/>
    <n v="1168.8900000000001"/>
    <n v="4"/>
    <n v="0.1"/>
    <d v="2024-09-09T00:00:00"/>
    <n v="526"/>
    <d v="2026-09-09T15:30:06"/>
    <d v="2024-09-01T00:00:00"/>
  </r>
  <r>
    <s v="CUST003"/>
    <s v="James Davis"/>
    <s v="South"/>
    <x v="2"/>
    <n v="1335.87"/>
    <n v="17"/>
    <n v="0"/>
    <d v="2024-09-09T00:00:00"/>
    <n v="333.97"/>
    <d v="2026-09-09T15:30:06"/>
    <d v="2024-09-01T00:00:00"/>
  </r>
  <r>
    <s v="CUST023"/>
    <s v="David Brown"/>
    <s v="East"/>
    <x v="3"/>
    <n v="873.7"/>
    <n v="9"/>
    <n v="0"/>
    <d v="2024-09-11T00:00:00"/>
    <n v="305.8"/>
    <d v="2026-09-09T15:30:06"/>
    <d v="2024-09-01T00:00:00"/>
  </r>
  <r>
    <s v="CUST004"/>
    <s v="Sarah Davis"/>
    <s v="West"/>
    <x v="4"/>
    <n v="1443.98"/>
    <n v="19"/>
    <n v="0"/>
    <d v="2024-09-12T00:00:00"/>
    <n v="649.79"/>
    <d v="2026-09-09T15:30:06"/>
    <d v="2024-09-01T00:00:00"/>
  </r>
  <r>
    <s v="CUST023"/>
    <s v="James Wilson"/>
    <s v="East"/>
    <x v="4"/>
    <n v="1154.33"/>
    <n v="11"/>
    <n v="0.15"/>
    <d v="2024-09-14T00:00:00"/>
    <n v="441.53"/>
    <d v="2026-09-09T15:30:06"/>
    <d v="2024-09-01T00:00:00"/>
  </r>
  <r>
    <s v="CUST022"/>
    <s v="Linda Brown"/>
    <s v="South"/>
    <x v="0"/>
    <n v="1264.49"/>
    <n v="16"/>
    <n v="0.05"/>
    <d v="2024-09-14T00:00:00"/>
    <n v="480.51"/>
    <d v="2026-09-09T15:30:06"/>
    <d v="2024-09-01T00:00:00"/>
  </r>
  <r>
    <s v="CUST007"/>
    <s v="Emma Taylor"/>
    <s v="West"/>
    <x v="3"/>
    <n v="1101.55"/>
    <n v="4"/>
    <n v="0.1"/>
    <d v="2024-09-16T00:00:00"/>
    <n v="346.99"/>
    <d v="2026-09-09T15:30:06"/>
    <d v="2024-09-01T00:00:00"/>
  </r>
  <r>
    <s v="CUST013"/>
    <s v="Robert Anderson"/>
    <s v="South"/>
    <x v="3"/>
    <n v="727.73"/>
    <n v="1"/>
    <n v="0.1"/>
    <d v="2024-09-17T00:00:00"/>
    <n v="229.23"/>
    <d v="2026-09-09T15:30:06"/>
    <d v="2024-09-01T00:00:00"/>
  </r>
  <r>
    <s v="CUST027"/>
    <s v="Emma Davis"/>
    <s v="East"/>
    <x v="4"/>
    <n v="875.41"/>
    <n v="13"/>
    <n v="0.15"/>
    <d v="2024-09-17T00:00:00"/>
    <n v="334.84"/>
    <d v="2026-09-09T15:30:06"/>
    <d v="2024-09-01T00:00:00"/>
  </r>
  <r>
    <s v="CUST003"/>
    <s v="James Wilson"/>
    <s v="West"/>
    <x v="2"/>
    <n v="1158.94"/>
    <n v="19"/>
    <n v="0.2"/>
    <d v="2024-09-18T00:00:00"/>
    <n v="231.79"/>
    <d v="2026-09-09T15:30:06"/>
    <d v="2024-09-01T00:00:00"/>
  </r>
  <r>
    <s v="CUST018"/>
    <s v="Mary Jackson"/>
    <s v="South"/>
    <x v="0"/>
    <n v="966.3"/>
    <n v="2"/>
    <n v="0.15"/>
    <d v="2024-09-22T00:00:00"/>
    <n v="328.54"/>
    <d v="2026-09-09T15:30:06"/>
    <d v="2024-09-01T00:00:00"/>
  </r>
  <r>
    <s v="CUST020"/>
    <s v="James Taylor"/>
    <s v="South"/>
    <x v="0"/>
    <n v="917.48"/>
    <n v="6"/>
    <n v="0"/>
    <d v="2024-09-23T00:00:00"/>
    <n v="366.99"/>
    <d v="2026-09-09T15:30:06"/>
    <d v="2024-09-01T00:00:00"/>
  </r>
  <r>
    <s v="CUST029"/>
    <s v="Emma Wilson"/>
    <s v="West"/>
    <x v="3"/>
    <n v="1172.97"/>
    <n v="7"/>
    <n v="0.15"/>
    <d v="2024-09-24T00:00:00"/>
    <n v="348.96"/>
    <d v="2026-09-09T15:30:06"/>
    <d v="2024-09-01T00:00:00"/>
  </r>
  <r>
    <s v="CUST021"/>
    <s v="James Wilson"/>
    <s v="North"/>
    <x v="1"/>
    <n v="1205.82"/>
    <n v="11"/>
    <n v="0.1"/>
    <d v="2024-09-24T00:00:00"/>
    <n v="542.62"/>
    <d v="2026-09-09T15:30:06"/>
    <d v="2024-09-01T00:00:00"/>
  </r>
  <r>
    <s v="CUST017"/>
    <s v="Sarah Davis"/>
    <s v="West"/>
    <x v="4"/>
    <n v="826.93"/>
    <n v="10"/>
    <n v="0.2"/>
    <d v="2024-09-29T00:00:00"/>
    <n v="297.69"/>
    <d v="2026-09-09T15:30:06"/>
    <d v="2024-09-01T00:00:00"/>
  </r>
  <r>
    <s v="CUST003"/>
    <s v="James Wilson"/>
    <s v="Central"/>
    <x v="1"/>
    <n v="902.19"/>
    <n v="12"/>
    <n v="0"/>
    <d v="2024-09-29T00:00:00"/>
    <n v="451.1"/>
    <d v="2026-09-09T15:30:06"/>
    <d v="2024-09-01T00:00:00"/>
  </r>
  <r>
    <s v="CUST027"/>
    <s v="Emma Davis"/>
    <s v="North"/>
    <x v="0"/>
    <n v="585.97"/>
    <n v="17"/>
    <n v="0.1"/>
    <d v="2024-09-30T00:00:00"/>
    <n v="210.95"/>
    <d v="2026-09-09T15:30:06"/>
    <d v="2024-09-01T00:00:00"/>
  </r>
  <r>
    <s v="CUST016"/>
    <s v="Michael Anderson"/>
    <s v="North"/>
    <x v="1"/>
    <n v="990.19"/>
    <n v="8"/>
    <n v="0.1"/>
    <d v="2024-09-30T00:00:00"/>
    <n v="445.59"/>
    <d v="2026-09-09T15:30:06"/>
    <d v="2024-09-01T00:00:00"/>
  </r>
  <r>
    <s v="CUST008"/>
    <s v="David Davis"/>
    <s v="Central"/>
    <x v="2"/>
    <n v="1014.09"/>
    <n v="13"/>
    <n v="0.2"/>
    <d v="2024-10-02T00:00:00"/>
    <n v="202.82"/>
    <d v="2026-09-09T15:30:06"/>
    <d v="2024-10-01T00:00:00"/>
  </r>
  <r>
    <s v="CUST012"/>
    <s v="Lisa Davis"/>
    <s v="North"/>
    <x v="2"/>
    <n v="925.29"/>
    <n v="17"/>
    <n v="0"/>
    <d v="2024-10-05T00:00:00"/>
    <n v="231.32"/>
    <d v="2026-09-09T15:30:06"/>
    <d v="2024-10-01T00:00:00"/>
  </r>
  <r>
    <s v="CUST025"/>
    <s v="Mary Jackson"/>
    <s v="East"/>
    <x v="3"/>
    <n v="1286.54"/>
    <n v="8"/>
    <n v="0"/>
    <d v="2024-10-10T00:00:00"/>
    <n v="450.29"/>
    <d v="2026-09-09T15:30:06"/>
    <d v="2024-10-01T00:00:00"/>
  </r>
  <r>
    <s v="CUST014"/>
    <s v="Sarah Davis"/>
    <s v="South"/>
    <x v="0"/>
    <n v="961.62"/>
    <n v="8"/>
    <n v="0.2"/>
    <d v="2024-10-12T00:00:00"/>
    <n v="307.72000000000003"/>
    <d v="2026-09-09T15:30:06"/>
    <d v="2024-10-01T00:00:00"/>
  </r>
  <r>
    <s v="CUST008"/>
    <s v="James Wilson"/>
    <s v="East"/>
    <x v="0"/>
    <n v="1081.1400000000001"/>
    <n v="19"/>
    <n v="0.15"/>
    <d v="2024-10-12T00:00:00"/>
    <n v="367.59"/>
    <d v="2026-09-09T15:30:06"/>
    <d v="2024-10-01T00:00:00"/>
  </r>
  <r>
    <s v="CUST015"/>
    <s v="James Wilson"/>
    <s v="West"/>
    <x v="1"/>
    <n v="1923.66"/>
    <n v="9"/>
    <n v="0.2"/>
    <d v="2024-10-15T00:00:00"/>
    <n v="769.46"/>
    <d v="2026-09-09T15:30:06"/>
    <d v="2024-10-01T00:00:00"/>
  </r>
  <r>
    <s v="CUST025"/>
    <s v="Emma Taylor"/>
    <s v="Central"/>
    <x v="1"/>
    <n v="728.71"/>
    <n v="14"/>
    <n v="0.1"/>
    <d v="2024-10-16T00:00:00"/>
    <n v="327.92"/>
    <d v="2026-09-09T15:30:06"/>
    <d v="2024-10-01T00:00:00"/>
  </r>
  <r>
    <s v="CUST019"/>
    <s v="Linda Jackson"/>
    <s v="Central"/>
    <x v="1"/>
    <n v="1301.8900000000001"/>
    <n v="7"/>
    <n v="0.15"/>
    <d v="2024-10-16T00:00:00"/>
    <n v="553.29999999999995"/>
    <d v="2026-09-09T15:30:06"/>
    <d v="2024-10-01T00:00:00"/>
  </r>
  <r>
    <s v="CUST024"/>
    <s v="Emma Taylor"/>
    <s v="East"/>
    <x v="0"/>
    <n v="980.18"/>
    <n v="16"/>
    <n v="0.1"/>
    <d v="2024-10-17T00:00:00"/>
    <n v="352.86"/>
    <d v="2026-09-09T15:30:06"/>
    <d v="2024-10-01T00:00:00"/>
  </r>
  <r>
    <s v="CUST027"/>
    <s v="James Wilson"/>
    <s v="West"/>
    <x v="1"/>
    <n v="697.57"/>
    <n v="17"/>
    <n v="0.1"/>
    <d v="2024-10-19T00:00:00"/>
    <n v="313.91000000000003"/>
    <d v="2026-09-09T15:30:06"/>
    <d v="2024-10-01T00:00:00"/>
  </r>
  <r>
    <s v="CUST006"/>
    <s v="David Anderson"/>
    <s v="West"/>
    <x v="3"/>
    <n v="1193.6099999999999"/>
    <n v="1"/>
    <n v="0.15"/>
    <d v="2024-10-19T00:00:00"/>
    <n v="355.1"/>
    <d v="2026-09-09T15:30:06"/>
    <d v="2024-10-01T00:00:00"/>
  </r>
  <r>
    <s v="CUST009"/>
    <s v="Emma Davis"/>
    <s v="South"/>
    <x v="2"/>
    <n v="771.02"/>
    <n v="1"/>
    <n v="0"/>
    <d v="2024-10-20T00:00:00"/>
    <n v="192.76"/>
    <d v="2026-09-09T15:30:06"/>
    <d v="2024-10-01T00:00:00"/>
  </r>
  <r>
    <s v="CUST003"/>
    <s v="Linda Moore"/>
    <s v="North"/>
    <x v="1"/>
    <n v="661.09"/>
    <n v="1"/>
    <n v="0.2"/>
    <d v="2024-10-28T00:00:00"/>
    <n v="264.44"/>
    <d v="2026-09-09T15:30:06"/>
    <d v="2024-10-01T00:00:00"/>
  </r>
  <r>
    <s v="CUST012"/>
    <s v="David Brown"/>
    <s v="West"/>
    <x v="2"/>
    <n v="688.83"/>
    <n v="15"/>
    <n v="0"/>
    <d v="2024-10-30T00:00:00"/>
    <n v="172.21"/>
    <d v="2026-09-09T15:30:06"/>
    <d v="2024-10-01T00:00:00"/>
  </r>
  <r>
    <s v="CUST013"/>
    <s v="Linda Wilson"/>
    <s v="Central"/>
    <x v="0"/>
    <n v="1249.0999999999999"/>
    <n v="4"/>
    <n v="0.05"/>
    <d v="2024-11-01T00:00:00"/>
    <n v="474.66"/>
    <d v="2026-09-09T15:30:06"/>
    <d v="2024-11-01T00:00:00"/>
  </r>
  <r>
    <s v="CUST008"/>
    <s v="James Wilson"/>
    <s v="East"/>
    <x v="4"/>
    <n v="1014.22"/>
    <n v="14"/>
    <n v="0.05"/>
    <d v="2024-11-03T00:00:00"/>
    <n v="433.58"/>
    <d v="2026-09-09T15:30:06"/>
    <d v="2024-11-01T00:00:00"/>
  </r>
  <r>
    <s v="CUST025"/>
    <s v="Lisa Davis"/>
    <s v="East"/>
    <x v="0"/>
    <n v="1010.58"/>
    <n v="2"/>
    <n v="0.15"/>
    <d v="2024-11-09T00:00:00"/>
    <n v="343.6"/>
    <d v="2026-09-09T15:30:06"/>
    <d v="2024-11-01T00:00:00"/>
  </r>
  <r>
    <s v="CUST026"/>
    <s v="Mary Wilson"/>
    <s v="North"/>
    <x v="3"/>
    <n v="957.29"/>
    <n v="4"/>
    <n v="0.05"/>
    <d v="2024-11-09T00:00:00"/>
    <n v="318.3"/>
    <d v="2026-09-09T15:30:06"/>
    <d v="2024-11-01T00:00:00"/>
  </r>
  <r>
    <s v="CUST001"/>
    <s v="Lisa Thomas"/>
    <s v="North"/>
    <x v="3"/>
    <n v="1077.92"/>
    <n v="3"/>
    <n v="0.05"/>
    <d v="2024-11-12T00:00:00"/>
    <n v="358.41"/>
    <d v="2026-09-09T15:30:06"/>
    <d v="2024-11-01T00:00:00"/>
  </r>
  <r>
    <s v="CUST028"/>
    <s v="Linda Brown"/>
    <s v="South"/>
    <x v="1"/>
    <n v="1163.01"/>
    <n v="5"/>
    <n v="0"/>
    <d v="2024-11-15T00:00:00"/>
    <n v="581.5"/>
    <d v="2026-09-09T15:30:06"/>
    <d v="2024-11-01T00:00:00"/>
  </r>
  <r>
    <s v="CUST025"/>
    <s v="Lisa Thomas"/>
    <s v="East"/>
    <x v="4"/>
    <n v="1014.56"/>
    <n v="10"/>
    <n v="0.1"/>
    <d v="2024-11-16T00:00:00"/>
    <n v="410.9"/>
    <d v="2026-09-09T15:30:06"/>
    <d v="2024-11-01T00:00:00"/>
  </r>
  <r>
    <s v="CUST019"/>
    <s v="James Taylor"/>
    <s v="South"/>
    <x v="2"/>
    <n v="718.04"/>
    <n v="14"/>
    <n v="0"/>
    <d v="2024-11-17T00:00:00"/>
    <n v="179.51"/>
    <d v="2026-09-09T15:30:06"/>
    <d v="2024-11-01T00:00:00"/>
  </r>
  <r>
    <s v="CUST004"/>
    <s v="James Taylor"/>
    <s v="Central"/>
    <x v="1"/>
    <n v="1277.8499999999999"/>
    <n v="18"/>
    <n v="0.2"/>
    <d v="2024-11-17T00:00:00"/>
    <n v="511.14"/>
    <d v="2026-09-09T15:30:06"/>
    <d v="2024-11-01T00:00:00"/>
  </r>
  <r>
    <s v="CUST024"/>
    <s v="James Wilson"/>
    <s v="North"/>
    <x v="2"/>
    <n v="706.73"/>
    <n v="1"/>
    <n v="0.15"/>
    <d v="2024-11-17T00:00:00"/>
    <n v="150.18"/>
    <d v="2026-09-09T15:30:06"/>
    <d v="2024-11-01T00:00:00"/>
  </r>
  <r>
    <s v="CUST002"/>
    <s v="Linda Brown"/>
    <s v="East"/>
    <x v="2"/>
    <n v="1410.59"/>
    <n v="15"/>
    <n v="0"/>
    <d v="2024-11-19T00:00:00"/>
    <n v="352.65"/>
    <d v="2026-09-09T15:30:06"/>
    <d v="2024-11-01T00:00:00"/>
  </r>
  <r>
    <s v="CUST009"/>
    <s v="Emma Wilson"/>
    <s v="South"/>
    <x v="3"/>
    <n v="1350.33"/>
    <n v="10"/>
    <n v="0"/>
    <d v="2024-11-19T00:00:00"/>
    <n v="472.62"/>
    <d v="2026-09-09T15:30:06"/>
    <d v="2024-11-01T00:00:00"/>
  </r>
  <r>
    <s v="CUST029"/>
    <s v="Lisa Thomas"/>
    <s v="East"/>
    <x v="2"/>
    <n v="919.18"/>
    <n v="4"/>
    <n v="0.15"/>
    <d v="2024-11-19T00:00:00"/>
    <n v="195.33"/>
    <d v="2026-09-09T15:30:06"/>
    <d v="2024-11-01T00:00:00"/>
  </r>
  <r>
    <s v="CUST027"/>
    <s v="James Wilson"/>
    <s v="West"/>
    <x v="2"/>
    <n v="258.51"/>
    <n v="19"/>
    <n v="0"/>
    <d v="2024-11-20T00:00:00"/>
    <n v="64.63"/>
    <d v="2026-09-09T15:30:06"/>
    <d v="2024-11-01T00:00:00"/>
  </r>
  <r>
    <s v="CUST011"/>
    <s v="Emma Wilson"/>
    <s v="East"/>
    <x v="0"/>
    <n v="1213.48"/>
    <n v="5"/>
    <n v="0.05"/>
    <d v="2024-11-20T00:00:00"/>
    <n v="461.12"/>
    <d v="2026-09-09T15:30:06"/>
    <d v="2024-11-01T00:00:00"/>
  </r>
  <r>
    <s v="CUST021"/>
    <s v="Emma Davis"/>
    <s v="Central"/>
    <x v="0"/>
    <n v="1150.28"/>
    <n v="8"/>
    <n v="0.05"/>
    <d v="2024-11-26T00:00:00"/>
    <n v="437.11"/>
    <d v="2026-09-09T15:30:06"/>
    <d v="2024-11-01T00:00:00"/>
  </r>
  <r>
    <s v="CUST014"/>
    <s v="David Anderson"/>
    <s v="South"/>
    <x v="3"/>
    <n v="853.86"/>
    <n v="8"/>
    <n v="0.1"/>
    <d v="2024-11-26T00:00:00"/>
    <n v="268.97000000000003"/>
    <d v="2026-09-09T15:30:06"/>
    <d v="2024-11-01T00:00:00"/>
  </r>
  <r>
    <s v="CUST018"/>
    <s v="Lisa Thomas"/>
    <s v="South"/>
    <x v="2"/>
    <n v="1061.04"/>
    <n v="1"/>
    <n v="0"/>
    <d v="2024-11-28T00:00:00"/>
    <n v="265.26"/>
    <d v="2026-09-09T15:30:06"/>
    <d v="2024-11-01T00:00:00"/>
  </r>
  <r>
    <s v="CUST001"/>
    <s v="Sarah Anderson"/>
    <s v="West"/>
    <x v="2"/>
    <n v="894.55"/>
    <n v="19"/>
    <n v="0.2"/>
    <d v="2024-11-29T00:00:00"/>
    <n v="178.91"/>
    <d v="2026-09-09T15:30:06"/>
    <d v="2024-11-01T00:00:00"/>
  </r>
  <r>
    <s v="CUST007"/>
    <s v="Emma Davis"/>
    <s v="North"/>
    <x v="4"/>
    <n v="833.91"/>
    <n v="3"/>
    <n v="0.05"/>
    <d v="2024-11-30T00:00:00"/>
    <n v="356.5"/>
    <d v="2026-09-09T15:30:06"/>
    <d v="2024-11-01T00:00:00"/>
  </r>
  <r>
    <s v="CUST015"/>
    <s v="David Anderson"/>
    <s v="West"/>
    <x v="3"/>
    <n v="820.19"/>
    <n v="4"/>
    <n v="0.2"/>
    <d v="2024-12-04T00:00:00"/>
    <n v="229.65"/>
    <d v="2026-09-09T15:30:06"/>
    <d v="2024-12-01T00:00:00"/>
  </r>
  <r>
    <s v="CUST015"/>
    <s v="Emma Davis"/>
    <s v="Central"/>
    <x v="2"/>
    <n v="511.74"/>
    <n v="8"/>
    <n v="0.05"/>
    <d v="2024-12-05T00:00:00"/>
    <n v="121.54"/>
    <d v="2026-09-09T15:30:06"/>
    <d v="2024-12-01T00:00:00"/>
  </r>
  <r>
    <s v="CUST002"/>
    <s v="Emma Wilson"/>
    <s v="South"/>
    <x v="3"/>
    <n v="806.03"/>
    <n v="19"/>
    <n v="0.05"/>
    <d v="2024-12-12T00:00:00"/>
    <n v="268"/>
    <d v="2026-09-09T15:30:06"/>
    <d v="2024-12-01T00:00:00"/>
  </r>
  <r>
    <s v="CUST001"/>
    <s v="Michael Anderson"/>
    <s v="Central"/>
    <x v="3"/>
    <n v="1432.47"/>
    <n v="16"/>
    <n v="0.15"/>
    <d v="2024-12-14T00:00:00"/>
    <n v="426.16"/>
    <d v="2026-09-09T15:30:06"/>
    <d v="2024-12-01T00:00:00"/>
  </r>
  <r>
    <s v="CUST027"/>
    <s v="Linda Wilson"/>
    <s v="Central"/>
    <x v="2"/>
    <n v="1488.58"/>
    <n v="10"/>
    <n v="0.15"/>
    <d v="2024-12-14T00:00:00"/>
    <n v="316.32"/>
    <d v="2026-09-09T15:30:06"/>
    <d v="2024-12-01T00:00:00"/>
  </r>
  <r>
    <s v="CUST026"/>
    <s v="Emma Taylor"/>
    <s v="East"/>
    <x v="0"/>
    <n v="1231.26"/>
    <n v="9"/>
    <n v="0"/>
    <d v="2024-12-20T00:00:00"/>
    <n v="492.5"/>
    <d v="2026-09-09T15:30:06"/>
    <d v="2024-12-01T00:00:00"/>
  </r>
  <r>
    <s v="CUST026"/>
    <s v="Sarah Anderson"/>
    <s v="West"/>
    <x v="2"/>
    <n v="1161.67"/>
    <n v="19"/>
    <n v="0.2"/>
    <d v="2024-12-21T00:00:00"/>
    <n v="232.33"/>
    <d v="2026-09-09T15:30:06"/>
    <d v="2024-12-01T00:00:00"/>
  </r>
  <r>
    <s v="CUST022"/>
    <s v="Lisa Thomas"/>
    <s v="Central"/>
    <x v="4"/>
    <n v="388.23"/>
    <n v="16"/>
    <n v="0.05"/>
    <d v="2024-12-24T00:00:00"/>
    <n v="165.97"/>
    <d v="2026-09-09T15:30:06"/>
    <d v="2024-12-01T00:00:00"/>
  </r>
  <r>
    <s v="CUST004"/>
    <s v="Mary Davis"/>
    <s v="North"/>
    <x v="1"/>
    <n v="1589.42"/>
    <n v="6"/>
    <n v="0.15"/>
    <d v="2024-12-25T00:00:00"/>
    <n v="675.5"/>
    <d v="2026-09-09T15:30:06"/>
    <d v="2024-12-01T00:00:00"/>
  </r>
  <r>
    <s v="CUST001"/>
    <s v="David Anderson"/>
    <s v="North"/>
    <x v="1"/>
    <n v="336.66"/>
    <n v="13"/>
    <n v="0.2"/>
    <d v="2024-12-25T00:00:00"/>
    <n v="134.66"/>
    <d v="2026-09-09T15:30:06"/>
    <d v="2024-12-01T00:00:00"/>
  </r>
  <r>
    <s v="CUST022"/>
    <s v="James Wilson"/>
    <s v="West"/>
    <x v="0"/>
    <n v="1353.79"/>
    <n v="14"/>
    <n v="0.1"/>
    <d v="2024-12-30T00:00:00"/>
    <n v="487.36"/>
    <d v="2026-09-09T15:30:06"/>
    <d v="2024-12-01T00:00:00"/>
  </r>
  <r>
    <s v="CUST011"/>
    <s v="Linda Moore"/>
    <s v="Central"/>
    <x v="1"/>
    <n v="662.61"/>
    <n v="11"/>
    <n v="0.05"/>
    <d v="2025-01-01T00:00:00"/>
    <n v="314.74"/>
    <d v="2026-09-09T15:30:06"/>
    <d v="2025-01-01T00:00:00"/>
  </r>
  <r>
    <s v="CUST028"/>
    <s v="Lisa Davis"/>
    <s v="North"/>
    <x v="4"/>
    <n v="309.42"/>
    <n v="1"/>
    <n v="0.2"/>
    <d v="2025-01-01T00:00:00"/>
    <n v="111.39"/>
    <d v="2026-09-09T15:30:06"/>
    <d v="2025-01-01T00:00:00"/>
  </r>
  <r>
    <s v="CUST011"/>
    <s v="Linda Wilson"/>
    <s v="North"/>
    <x v="0"/>
    <n v="884.63"/>
    <n v="18"/>
    <n v="0.1"/>
    <d v="2025-01-02T00:00:00"/>
    <n v="318.47000000000003"/>
    <d v="2026-09-09T15:30:06"/>
    <d v="2025-01-01T00:00:00"/>
  </r>
  <r>
    <s v="CUST028"/>
    <s v="James Wilson"/>
    <s v="Central"/>
    <x v="4"/>
    <n v="745.05"/>
    <n v="10"/>
    <n v="0.1"/>
    <d v="2025-01-03T00:00:00"/>
    <n v="301.75"/>
    <d v="2026-09-09T15:30:06"/>
    <d v="2025-01-01T00:00:00"/>
  </r>
  <r>
    <s v="CUST016"/>
    <s v="James Taylor"/>
    <s v="South"/>
    <x v="1"/>
    <n v="870.23"/>
    <n v="5"/>
    <n v="0.05"/>
    <d v="2025-01-03T00:00:00"/>
    <n v="413.36"/>
    <d v="2026-09-09T15:30:06"/>
    <d v="2025-01-01T00:00:00"/>
  </r>
  <r>
    <s v="CUST010"/>
    <s v="Linda Wilson"/>
    <s v="West"/>
    <x v="3"/>
    <n v="862.19"/>
    <n v="18"/>
    <n v="0.05"/>
    <d v="2025-01-06T00:00:00"/>
    <n v="286.68"/>
    <d v="2026-09-09T15:30:06"/>
    <d v="2025-01-01T00:00:00"/>
  </r>
  <r>
    <s v="CUST013"/>
    <s v="Mary Wilson"/>
    <s v="North"/>
    <x v="1"/>
    <n v="1171.18"/>
    <n v="19"/>
    <n v="0.05"/>
    <d v="2025-01-10T00:00:00"/>
    <n v="556.30999999999995"/>
    <d v="2026-09-09T15:30:06"/>
    <d v="2025-01-01T00:00:00"/>
  </r>
  <r>
    <s v="CUST015"/>
    <s v="Robert Anderson"/>
    <s v="South"/>
    <x v="3"/>
    <n v="1054.56"/>
    <n v="11"/>
    <n v="0.1"/>
    <d v="2025-01-12T00:00:00"/>
    <n v="332.19"/>
    <d v="2026-09-09T15:30:06"/>
    <d v="2025-01-01T00:00:00"/>
  </r>
  <r>
    <s v="CUST015"/>
    <s v="James Wilson"/>
    <s v="North"/>
    <x v="2"/>
    <n v="1681.21"/>
    <n v="5"/>
    <n v="0.2"/>
    <d v="2025-01-13T00:00:00"/>
    <n v="336.24"/>
    <d v="2026-09-09T15:30:06"/>
    <d v="2025-01-01T00:00:00"/>
  </r>
  <r>
    <s v="CUST015"/>
    <s v="David Thomas"/>
    <s v="West"/>
    <x v="1"/>
    <n v="379.77"/>
    <n v="9"/>
    <n v="0.05"/>
    <d v="2025-01-16T00:00:00"/>
    <n v="180.39"/>
    <d v="2026-09-09T15:30:06"/>
    <d v="2025-01-01T00:00:00"/>
  </r>
  <r>
    <s v="CUST008"/>
    <s v="Lisa Thomas"/>
    <s v="Central"/>
    <x v="1"/>
    <n v="1076.33"/>
    <n v="2"/>
    <n v="0.1"/>
    <d v="2025-01-17T00:00:00"/>
    <n v="484.35"/>
    <d v="2026-09-09T15:30:06"/>
    <d v="2025-01-01T00:00:00"/>
  </r>
  <r>
    <s v="CUST008"/>
    <s v="Mary Davis"/>
    <s v="Central"/>
    <x v="4"/>
    <n v="1250.71"/>
    <n v="7"/>
    <n v="0"/>
    <d v="2025-01-17T00:00:00"/>
    <n v="562.82000000000005"/>
    <d v="2026-09-09T15:30:06"/>
    <d v="2025-01-01T00:00:00"/>
  </r>
  <r>
    <s v="CUST023"/>
    <s v="James Taylor"/>
    <s v="South"/>
    <x v="1"/>
    <n v="1118.3399999999999"/>
    <n v="6"/>
    <n v="0.2"/>
    <d v="2025-01-17T00:00:00"/>
    <n v="447.34"/>
    <d v="2026-09-09T15:30:06"/>
    <d v="2025-01-01T00:00:00"/>
  </r>
  <r>
    <s v="CUST024"/>
    <s v="Linda Taylor"/>
    <s v="North"/>
    <x v="1"/>
    <n v="1622.62"/>
    <n v="12"/>
    <n v="0.2"/>
    <d v="2025-01-20T00:00:00"/>
    <n v="649.04999999999995"/>
    <d v="2026-09-09T15:30:06"/>
    <d v="2025-01-01T00:00:00"/>
  </r>
  <r>
    <s v="CUST018"/>
    <s v="Lisa Davis"/>
    <s v="North"/>
    <x v="0"/>
    <n v="640.64"/>
    <n v="11"/>
    <n v="0.2"/>
    <d v="2025-01-21T00:00:00"/>
    <n v="205"/>
    <d v="2026-09-09T15:30:06"/>
    <d v="2025-01-01T00:00:00"/>
  </r>
  <r>
    <s v="CUST030"/>
    <s v="Sarah Anderson"/>
    <s v="West"/>
    <x v="1"/>
    <n v="585.16"/>
    <n v="17"/>
    <n v="0.1"/>
    <d v="2025-01-27T00:00:00"/>
    <n v="263.32"/>
    <d v="2026-09-09T15:30:06"/>
    <d v="2025-01-01T00:00:00"/>
  </r>
  <r>
    <s v="CUST030"/>
    <s v="Mary Davis"/>
    <s v="East"/>
    <x v="1"/>
    <n v="1109.98"/>
    <n v="5"/>
    <n v="0.2"/>
    <d v="2025-02-02T00:00:00"/>
    <n v="443.99"/>
    <d v="2026-09-09T15:30:06"/>
    <d v="2025-02-01T00:00:00"/>
  </r>
  <r>
    <s v="CUST015"/>
    <s v="Lisa Thomas"/>
    <s v="East"/>
    <x v="0"/>
    <n v="1098.08"/>
    <n v="9"/>
    <n v="0.1"/>
    <d v="2025-02-04T00:00:00"/>
    <n v="395.31"/>
    <d v="2026-09-09T15:30:06"/>
    <d v="2025-02-01T00:00:00"/>
  </r>
  <r>
    <s v="CUST002"/>
    <s v="Lisa Davis"/>
    <s v="West"/>
    <x v="4"/>
    <n v="827.25"/>
    <n v="7"/>
    <n v="0.1"/>
    <d v="2025-02-05T00:00:00"/>
    <n v="335.04"/>
    <d v="2026-09-09T15:30:06"/>
    <d v="2025-02-01T00:00:00"/>
  </r>
  <r>
    <s v="CUST024"/>
    <s v="Linda Wilson"/>
    <s v="Central"/>
    <x v="1"/>
    <n v="741.88"/>
    <n v="16"/>
    <n v="0.1"/>
    <d v="2025-02-07T00:00:00"/>
    <n v="333.85"/>
    <d v="2026-09-09T15:30:06"/>
    <d v="2025-02-01T00:00:00"/>
  </r>
  <r>
    <s v="CUST004"/>
    <s v="James Davis"/>
    <s v="East"/>
    <x v="4"/>
    <n v="1311.26"/>
    <n v="6"/>
    <n v="0.1"/>
    <d v="2025-02-10T00:00:00"/>
    <n v="531.05999999999995"/>
    <d v="2026-09-09T15:30:06"/>
    <d v="2025-02-01T00:00:00"/>
  </r>
  <r>
    <s v="CUST004"/>
    <s v="Mary Davis"/>
    <s v="South"/>
    <x v="4"/>
    <n v="573.32000000000005"/>
    <n v="19"/>
    <n v="0.1"/>
    <d v="2025-02-15T00:00:00"/>
    <n v="232.19"/>
    <d v="2026-09-09T15:30:06"/>
    <d v="2025-02-01T00:00:00"/>
  </r>
  <r>
    <s v="CUST028"/>
    <s v="James Wilson"/>
    <s v="West"/>
    <x v="2"/>
    <n v="1115.22"/>
    <n v="14"/>
    <n v="0.2"/>
    <d v="2025-02-17T00:00:00"/>
    <n v="223.04"/>
    <d v="2026-09-09T15:30:06"/>
    <d v="2025-02-01T00:00:00"/>
  </r>
  <r>
    <s v="CUST012"/>
    <s v="Lisa Thomas"/>
    <s v="North"/>
    <x v="1"/>
    <n v="845.84"/>
    <n v="4"/>
    <n v="0"/>
    <d v="2025-02-19T00:00:00"/>
    <n v="422.92"/>
    <d v="2026-09-09T15:30:06"/>
    <d v="2025-02-01T00:00:00"/>
  </r>
  <r>
    <s v="CUST026"/>
    <s v="David Brown"/>
    <s v="West"/>
    <x v="2"/>
    <n v="1029.8"/>
    <n v="3"/>
    <n v="0"/>
    <d v="2025-02-20T00:00:00"/>
    <n v="257.45"/>
    <d v="2026-09-09T15:30:06"/>
    <d v="2025-02-01T00:00:00"/>
  </r>
  <r>
    <s v="CUST009"/>
    <s v="Mary Davis"/>
    <s v="North"/>
    <x v="0"/>
    <n v="1189.83"/>
    <n v="2"/>
    <n v="0.2"/>
    <d v="2025-02-21T00:00:00"/>
    <n v="380.75"/>
    <d v="2026-09-09T15:30:06"/>
    <d v="2025-02-01T00:00:00"/>
  </r>
  <r>
    <s v="CUST003"/>
    <s v="Sarah Anderson"/>
    <s v="South"/>
    <x v="0"/>
    <n v="704.28"/>
    <n v="15"/>
    <n v="0.2"/>
    <d v="2025-02-24T00:00:00"/>
    <n v="225.37"/>
    <d v="2026-09-09T15:30:06"/>
    <d v="2025-02-01T00:00:00"/>
  </r>
  <r>
    <s v="CUST002"/>
    <s v="Mary Jackson"/>
    <s v="Central"/>
    <x v="4"/>
    <n v="1618.22"/>
    <n v="12"/>
    <n v="0.2"/>
    <d v="2025-02-24T00:00:00"/>
    <n v="582.55999999999995"/>
    <d v="2026-09-09T15:30:06"/>
    <d v="2025-02-01T00:00:00"/>
  </r>
  <r>
    <s v="CUST013"/>
    <s v="Linda Taylor"/>
    <s v="Central"/>
    <x v="0"/>
    <n v="1014.43"/>
    <n v="2"/>
    <n v="0.15"/>
    <d v="2025-02-25T00:00:00"/>
    <n v="344.91"/>
    <d v="2026-09-09T15:30:06"/>
    <d v="2025-02-01T00:00:00"/>
  </r>
  <r>
    <s v="CUST018"/>
    <s v="Mary Davis"/>
    <s v="Central"/>
    <x v="1"/>
    <n v="826.97"/>
    <n v="18"/>
    <n v="0.2"/>
    <d v="2025-02-27T00:00:00"/>
    <n v="330.79"/>
    <d v="2026-09-09T15:30:06"/>
    <d v="2025-02-01T00:00:00"/>
  </r>
  <r>
    <s v="CUST017"/>
    <s v="Mary Davis"/>
    <s v="Central"/>
    <x v="1"/>
    <n v="1022.23"/>
    <n v="8"/>
    <n v="0.1"/>
    <d v="2025-03-01T00:00:00"/>
    <n v="460"/>
    <d v="2026-09-09T15:30:06"/>
    <d v="2025-03-01T00:00:00"/>
  </r>
  <r>
    <s v="CUST004"/>
    <s v="Linda Wilson"/>
    <s v="East"/>
    <x v="0"/>
    <n v="1099.69"/>
    <n v="6"/>
    <n v="0"/>
    <d v="2025-03-02T00:00:00"/>
    <n v="439.88"/>
    <d v="2026-09-09T15:30:06"/>
    <d v="2025-03-01T00:00:00"/>
  </r>
  <r>
    <s v="CUST028"/>
    <s v="Sarah Davis"/>
    <s v="North"/>
    <x v="0"/>
    <n v="710.52"/>
    <n v="8"/>
    <n v="0.1"/>
    <d v="2025-03-05T00:00:00"/>
    <n v="255.79"/>
    <d v="2026-09-09T15:30:06"/>
    <d v="2025-03-01T00:00:00"/>
  </r>
  <r>
    <s v="CUST028"/>
    <s v="Mary Wilson"/>
    <s v="North"/>
    <x v="0"/>
    <n v="499.18"/>
    <n v="15"/>
    <n v="0.2"/>
    <d v="2025-03-08T00:00:00"/>
    <n v="159.74"/>
    <d v="2026-09-09T15:30:06"/>
    <d v="2025-03-01T00:00:00"/>
  </r>
  <r>
    <s v="CUST014"/>
    <s v="Emma Davis"/>
    <s v="South"/>
    <x v="0"/>
    <n v="1064.19"/>
    <n v="18"/>
    <n v="0.05"/>
    <d v="2025-03-09T00:00:00"/>
    <n v="404.39"/>
    <d v="2026-09-09T15:30:06"/>
    <d v="2025-03-01T00:00:00"/>
  </r>
  <r>
    <s v="CUST003"/>
    <s v="Emma Davis"/>
    <s v="East"/>
    <x v="4"/>
    <n v="438.76"/>
    <n v="18"/>
    <n v="0.05"/>
    <d v="2025-03-10T00:00:00"/>
    <n v="187.57"/>
    <d v="2026-09-09T15:30:06"/>
    <d v="2025-03-01T00:00:00"/>
  </r>
  <r>
    <s v="CUST029"/>
    <s v="David Brown"/>
    <s v="West"/>
    <x v="1"/>
    <n v="864.98"/>
    <n v="2"/>
    <n v="0.05"/>
    <d v="2025-03-11T00:00:00"/>
    <n v="410.87"/>
    <d v="2026-09-09T15:30:06"/>
    <d v="2025-03-01T00:00:00"/>
  </r>
  <r>
    <s v="CUST021"/>
    <s v="David Brown"/>
    <s v="West"/>
    <x v="3"/>
    <n v="984.93"/>
    <n v="14"/>
    <n v="0.2"/>
    <d v="2025-03-17T00:00:00"/>
    <n v="275.77999999999997"/>
    <d v="2026-09-09T15:30:06"/>
    <d v="2025-03-01T00:00:00"/>
  </r>
  <r>
    <s v="CUST007"/>
    <s v="David Brown"/>
    <s v="West"/>
    <x v="1"/>
    <n v="1493.49"/>
    <n v="18"/>
    <n v="0"/>
    <d v="2025-03-18T00:00:00"/>
    <n v="746.74"/>
    <d v="2026-09-09T15:30:06"/>
    <d v="2025-03-01T00:00:00"/>
  </r>
  <r>
    <s v="CUST009"/>
    <s v="Linda Taylor"/>
    <s v="South"/>
    <x v="1"/>
    <n v="689.43"/>
    <n v="9"/>
    <n v="0.1"/>
    <d v="2025-03-20T00:00:00"/>
    <n v="310.24"/>
    <d v="2026-09-09T15:30:06"/>
    <d v="2025-03-01T00:00:00"/>
  </r>
  <r>
    <s v="CUST023"/>
    <s v="Mary Wilson"/>
    <s v="South"/>
    <x v="1"/>
    <n v="682.24"/>
    <n v="1"/>
    <n v="0"/>
    <d v="2025-03-22T00:00:00"/>
    <n v="341.12"/>
    <d v="2026-09-09T15:30:06"/>
    <d v="2025-03-01T00:00:00"/>
  </r>
  <r>
    <s v="CUST029"/>
    <s v="Michael Anderson"/>
    <s v="North"/>
    <x v="2"/>
    <n v="458.54"/>
    <n v="15"/>
    <n v="0.2"/>
    <d v="2025-03-25T00:00:00"/>
    <n v="91.71"/>
    <d v="2026-09-09T15:30:06"/>
    <d v="2025-03-01T00:00:00"/>
  </r>
  <r>
    <s v="CUST009"/>
    <s v="Michael Anderson"/>
    <s v="South"/>
    <x v="3"/>
    <n v="1184.25"/>
    <n v="11"/>
    <n v="0.2"/>
    <d v="2025-03-26T00:00:00"/>
    <n v="331.59"/>
    <d v="2026-09-09T15:30:06"/>
    <d v="2025-03-01T00:00:00"/>
  </r>
  <r>
    <s v="CUST007"/>
    <s v="James Davis"/>
    <s v="South"/>
    <x v="1"/>
    <n v="762.14"/>
    <n v="9"/>
    <n v="0"/>
    <d v="2025-03-27T00:00:00"/>
    <n v="381.07"/>
    <d v="2026-09-09T15:30:06"/>
    <d v="2025-03-01T00:00:00"/>
  </r>
  <r>
    <s v="CUST030"/>
    <s v="Linda Taylor"/>
    <s v="North"/>
    <x v="0"/>
    <n v="750.71"/>
    <n v="10"/>
    <n v="0.15"/>
    <d v="2025-03-27T00:00:00"/>
    <n v="255.24"/>
    <d v="2026-09-09T15:30:06"/>
    <d v="2025-03-01T00:00:00"/>
  </r>
  <r>
    <s v="CUST018"/>
    <s v="David Anderson"/>
    <s v="Central"/>
    <x v="1"/>
    <n v="1456.94"/>
    <n v="14"/>
    <n v="0.05"/>
    <d v="2025-03-29T00:00:00"/>
    <n v="692.05"/>
    <d v="2026-09-09T15:30:06"/>
    <d v="2025-03-01T00:00:00"/>
  </r>
  <r>
    <s v="CUST008"/>
    <s v="Emma Wilson"/>
    <s v="East"/>
    <x v="3"/>
    <n v="1093.3800000000001"/>
    <n v="17"/>
    <n v="0.1"/>
    <d v="2025-03-29T00:00:00"/>
    <n v="344.41"/>
    <d v="2026-09-09T15:30:06"/>
    <d v="2025-03-01T00:00:00"/>
  </r>
  <r>
    <s v="CUST014"/>
    <s v="Sarah Anderson"/>
    <s v="West"/>
    <x v="1"/>
    <n v="934.27"/>
    <n v="8"/>
    <n v="0.15"/>
    <d v="2025-03-30T00:00:00"/>
    <n v="397.06"/>
    <d v="2026-09-09T15:30:06"/>
    <d v="2025-03-01T00:00:00"/>
  </r>
  <r>
    <s v="CUST024"/>
    <s v="David Thomas"/>
    <s v="Central"/>
    <x v="1"/>
    <n v="1465.35"/>
    <n v="8"/>
    <n v="0.2"/>
    <d v="2025-03-30T00:00:00"/>
    <n v="586.14"/>
    <d v="2026-09-09T15:30:06"/>
    <d v="2025-03-01T00:00:00"/>
  </r>
  <r>
    <s v="CUST028"/>
    <s v="Robert Anderson"/>
    <s v="South"/>
    <x v="4"/>
    <n v="740.8"/>
    <n v="3"/>
    <n v="0"/>
    <d v="2025-04-02T00:00:00"/>
    <n v="333.36"/>
    <d v="2026-09-09T15:30:06"/>
    <d v="2025-04-01T00:00:00"/>
  </r>
  <r>
    <s v="CUST015"/>
    <s v="Sarah Anderson"/>
    <s v="West"/>
    <x v="4"/>
    <n v="545.44000000000005"/>
    <n v="17"/>
    <n v="0"/>
    <d v="2025-04-05T00:00:00"/>
    <n v="245.45"/>
    <d v="2026-09-09T15:30:06"/>
    <d v="2025-04-01T00:00:00"/>
  </r>
  <r>
    <s v="CUST010"/>
    <s v="David Thomas"/>
    <s v="East"/>
    <x v="0"/>
    <n v="997.61"/>
    <n v="8"/>
    <n v="0.05"/>
    <d v="2025-04-05T00:00:00"/>
    <n v="379.09"/>
    <d v="2026-09-09T15:30:06"/>
    <d v="2025-04-01T00:00:00"/>
  </r>
  <r>
    <s v="CUST016"/>
    <s v="David Thomas"/>
    <s v="South"/>
    <x v="1"/>
    <n v="928.32"/>
    <n v="2"/>
    <n v="0.05"/>
    <d v="2025-04-07T00:00:00"/>
    <n v="440.95"/>
    <d v="2026-09-09T15:30:06"/>
    <d v="2025-04-01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s v="Books"/>
    <n v="1036.0899999999999"/>
    <n v="4"/>
    <n v="0.2"/>
    <d v="2024-04-10T00:00:00"/>
    <n v="331.55"/>
    <d v="2026-09-09T15:33:34"/>
    <d v="2024-04-01T00:00:00"/>
  </r>
  <r>
    <s v="CUST012"/>
    <s v="Robert Anderson"/>
    <x v="0"/>
    <s v="Clothing"/>
    <n v="1101.28"/>
    <n v="3"/>
    <n v="0.2"/>
    <d v="2024-04-11T00:00:00"/>
    <n v="440.51"/>
    <d v="2026-09-09T15:33:34"/>
    <d v="2024-04-01T00:00:00"/>
  </r>
  <r>
    <s v="CUST017"/>
    <s v="James Taylor"/>
    <x v="1"/>
    <s v="Books"/>
    <n v="713.34"/>
    <n v="17"/>
    <n v="0"/>
    <d v="2024-04-14T00:00:00"/>
    <n v="285.33999999999997"/>
    <d v="2026-09-09T15:33:34"/>
    <d v="2024-04-01T00:00:00"/>
  </r>
  <r>
    <s v="CUST005"/>
    <s v="Robert Anderson"/>
    <x v="2"/>
    <s v="Electronics"/>
    <n v="760.93"/>
    <n v="4"/>
    <n v="0.15"/>
    <d v="2024-04-14T00:00:00"/>
    <n v="161.69999999999999"/>
    <d v="2026-09-09T15:33:34"/>
    <d v="2024-04-01T00:00:00"/>
  </r>
  <r>
    <s v="CUST030"/>
    <s v="James Wilson"/>
    <x v="3"/>
    <s v="Books"/>
    <n v="847"/>
    <n v="12"/>
    <n v="0.2"/>
    <d v="2024-04-15T00:00:00"/>
    <n v="271.04000000000002"/>
    <d v="2026-09-09T15:33:34"/>
    <d v="2024-04-01T00:00:00"/>
  </r>
  <r>
    <s v="CUST007"/>
    <s v="Michael Anderson"/>
    <x v="3"/>
    <s v="Furniture"/>
    <n v="965.64"/>
    <n v="8"/>
    <n v="0.1"/>
    <d v="2024-04-16T00:00:00"/>
    <n v="304.18"/>
    <d v="2026-09-09T15:33:34"/>
    <d v="2024-04-01T00:00:00"/>
  </r>
  <r>
    <s v="CUST001"/>
    <s v="Linda Wilson"/>
    <x v="0"/>
    <s v="Electronics"/>
    <n v="1317.53"/>
    <n v="12"/>
    <n v="0.05"/>
    <d v="2024-04-16T00:00:00"/>
    <n v="312.91000000000003"/>
    <d v="2026-09-09T15:33:34"/>
    <d v="2024-04-01T00:00:00"/>
  </r>
  <r>
    <s v="CUST026"/>
    <s v="Mary Davis"/>
    <x v="1"/>
    <s v="Furniture"/>
    <n v="1074.47"/>
    <n v="6"/>
    <n v="0.2"/>
    <d v="2024-04-19T00:00:00"/>
    <n v="300.85000000000002"/>
    <d v="2026-09-09T15:33:34"/>
    <d v="2024-04-01T00:00:00"/>
  </r>
  <r>
    <s v="CUST009"/>
    <s v="Linda Jackson"/>
    <x v="4"/>
    <s v="Books"/>
    <n v="501.54"/>
    <n v="11"/>
    <n v="0.05"/>
    <d v="2024-04-19T00:00:00"/>
    <n v="190.59"/>
    <d v="2026-09-09T15:33:34"/>
    <d v="2024-04-01T00:00:00"/>
  </r>
  <r>
    <s v="CUST010"/>
    <s v="David Thomas"/>
    <x v="4"/>
    <s v="Clothing"/>
    <n v="737.31"/>
    <n v="2"/>
    <n v="0.05"/>
    <d v="2024-04-19T00:00:00"/>
    <n v="350.22"/>
    <d v="2026-09-09T15:33:34"/>
    <d v="2024-04-01T00:00:00"/>
  </r>
  <r>
    <s v="CUST014"/>
    <s v="Emma Davis"/>
    <x v="0"/>
    <s v="Office Supplies"/>
    <n v="1572.82"/>
    <n v="6"/>
    <n v="0.05"/>
    <d v="2024-04-20T00:00:00"/>
    <n v="672.38"/>
    <d v="2026-09-09T15:33:34"/>
    <d v="2024-04-01T00:00:00"/>
  </r>
  <r>
    <s v="CUST014"/>
    <s v="David Thomas"/>
    <x v="4"/>
    <s v="Books"/>
    <n v="1343.13"/>
    <n v="14"/>
    <n v="0.15"/>
    <d v="2024-04-22T00:00:00"/>
    <n v="456.66"/>
    <d v="2026-09-09T15:33:34"/>
    <d v="2024-04-01T00:00:00"/>
  </r>
  <r>
    <s v="CUST007"/>
    <s v="Michael Anderson"/>
    <x v="4"/>
    <s v="Books"/>
    <n v="1191.58"/>
    <n v="14"/>
    <n v="0.05"/>
    <d v="2024-04-24T00:00:00"/>
    <n v="452.8"/>
    <d v="2026-09-09T15:33:34"/>
    <d v="2024-04-01T00:00:00"/>
  </r>
  <r>
    <s v="CUST023"/>
    <s v="Robert Anderson"/>
    <x v="0"/>
    <s v="Furniture"/>
    <n v="822.28"/>
    <n v="7"/>
    <n v="0.05"/>
    <d v="2024-04-24T00:00:00"/>
    <n v="273.41000000000003"/>
    <d v="2026-09-09T15:33:34"/>
    <d v="2024-04-01T00:00:00"/>
  </r>
  <r>
    <s v="CUST029"/>
    <s v="David Smith"/>
    <x v="3"/>
    <s v="Furniture"/>
    <n v="521.66999999999996"/>
    <n v="15"/>
    <n v="0.15"/>
    <d v="2024-04-27T00:00:00"/>
    <n v="155.19999999999999"/>
    <d v="2026-09-09T15:33:34"/>
    <d v="2024-04-01T00:00:00"/>
  </r>
  <r>
    <s v="CUST005"/>
    <s v="Sarah Anderson"/>
    <x v="2"/>
    <s v="Electronics"/>
    <n v="1502.93"/>
    <n v="14"/>
    <n v="0.2"/>
    <d v="2024-04-28T00:00:00"/>
    <n v="300.58999999999997"/>
    <d v="2026-09-09T15:33:34"/>
    <d v="2024-04-01T00:00:00"/>
  </r>
  <r>
    <s v="CUST008"/>
    <s v="Robert Anderson"/>
    <x v="2"/>
    <s v="Books"/>
    <n v="877.58"/>
    <n v="10"/>
    <n v="0.15"/>
    <d v="2024-04-29T00:00:00"/>
    <n v="298.38"/>
    <d v="2026-09-09T15:33:34"/>
    <d v="2024-04-01T00:00:00"/>
  </r>
  <r>
    <s v="CUST001"/>
    <s v="Lisa Thomas"/>
    <x v="0"/>
    <s v="Books"/>
    <n v="636.70000000000005"/>
    <n v="4"/>
    <n v="0.2"/>
    <d v="2024-04-29T00:00:00"/>
    <n v="203.74"/>
    <d v="2026-09-09T15:33:34"/>
    <d v="2024-04-01T00:00:00"/>
  </r>
  <r>
    <s v="CUST006"/>
    <s v="Mary Jackson"/>
    <x v="0"/>
    <s v="Books"/>
    <n v="1506.14"/>
    <n v="13"/>
    <n v="0.2"/>
    <d v="2024-04-30T00:00:00"/>
    <n v="481.96"/>
    <d v="2026-09-09T15:33:34"/>
    <d v="2024-04-01T00:00:00"/>
  </r>
  <r>
    <s v="CUST026"/>
    <s v="Mary Davis"/>
    <x v="4"/>
    <s v="Electronics"/>
    <n v="645.02"/>
    <n v="4"/>
    <n v="0"/>
    <d v="2024-05-02T00:00:00"/>
    <n v="161.26"/>
    <d v="2026-09-09T15:33:34"/>
    <d v="2024-05-01T00:00:00"/>
  </r>
  <r>
    <s v="CUST007"/>
    <s v="Lisa Davis"/>
    <x v="2"/>
    <s v="Clothing"/>
    <n v="953.3"/>
    <n v="11"/>
    <n v="0"/>
    <d v="2024-05-03T00:00:00"/>
    <n v="476.65"/>
    <d v="2026-09-09T15:33:34"/>
    <d v="2024-05-01T00:00:00"/>
  </r>
  <r>
    <s v="CUST022"/>
    <s v="Robert Anderson"/>
    <x v="3"/>
    <s v="Electronics"/>
    <n v="388.56"/>
    <n v="14"/>
    <n v="0.15"/>
    <d v="2024-05-04T00:00:00"/>
    <n v="82.57"/>
    <d v="2026-09-09T15:33:34"/>
    <d v="2024-05-01T00:00:00"/>
  </r>
  <r>
    <s v="CUST019"/>
    <s v="Mary Davis"/>
    <x v="0"/>
    <s v="Books"/>
    <n v="743.17"/>
    <n v="9"/>
    <n v="0"/>
    <d v="2024-05-04T00:00:00"/>
    <n v="297.27"/>
    <d v="2026-09-09T15:33:34"/>
    <d v="2024-05-01T00:00:00"/>
  </r>
  <r>
    <s v="CUST023"/>
    <s v="Mary Davis"/>
    <x v="4"/>
    <s v="Electronics"/>
    <n v="706.37"/>
    <n v="6"/>
    <n v="0"/>
    <d v="2024-05-04T00:00:00"/>
    <n v="176.59"/>
    <d v="2026-09-09T15:33:34"/>
    <d v="2024-05-01T00:00:00"/>
  </r>
  <r>
    <s v="CUST012"/>
    <s v="Mary Davis"/>
    <x v="4"/>
    <s v="Office Supplies"/>
    <n v="925.31"/>
    <n v="8"/>
    <n v="0.1"/>
    <d v="2024-05-06T00:00:00"/>
    <n v="374.75"/>
    <d v="2026-09-09T15:33:34"/>
    <d v="2024-05-01T00:00:00"/>
  </r>
  <r>
    <s v="CUST010"/>
    <s v="Linda Brown"/>
    <x v="2"/>
    <s v="Electronics"/>
    <n v="1173.1199999999999"/>
    <n v="18"/>
    <n v="0"/>
    <d v="2024-05-06T00:00:00"/>
    <n v="293.27999999999997"/>
    <d v="2026-09-09T15:33:34"/>
    <d v="2024-05-01T00:00:00"/>
  </r>
  <r>
    <s v="CUST030"/>
    <s v="John Brown"/>
    <x v="3"/>
    <s v="Furniture"/>
    <n v="675.54"/>
    <n v="17"/>
    <n v="0"/>
    <d v="2024-05-08T00:00:00"/>
    <n v="236.44"/>
    <d v="2026-09-09T15:33:34"/>
    <d v="2024-05-01T00:00:00"/>
  </r>
  <r>
    <s v="CUST007"/>
    <s v="Robert Anderson"/>
    <x v="4"/>
    <s v="Books"/>
    <n v="939.09"/>
    <n v="2"/>
    <n v="0.05"/>
    <d v="2024-05-10T00:00:00"/>
    <n v="356.85"/>
    <d v="2026-09-09T15:33:34"/>
    <d v="2024-05-01T00:00:00"/>
  </r>
  <r>
    <s v="CUST028"/>
    <s v="Linda Taylor"/>
    <x v="1"/>
    <s v="Office Supplies"/>
    <n v="983.34"/>
    <n v="19"/>
    <n v="0.1"/>
    <d v="2024-05-14T00:00:00"/>
    <n v="398.25"/>
    <d v="2026-09-09T15:33:34"/>
    <d v="2024-05-01T00:00:00"/>
  </r>
  <r>
    <s v="CUST028"/>
    <s v="James Wilson"/>
    <x v="2"/>
    <s v="Electronics"/>
    <n v="801.21"/>
    <n v="3"/>
    <n v="0.2"/>
    <d v="2024-05-14T00:00:00"/>
    <n v="160.24"/>
    <d v="2026-09-09T15:33:34"/>
    <d v="2024-05-01T00:00:00"/>
  </r>
  <r>
    <s v="CUST025"/>
    <s v="David Brown"/>
    <x v="3"/>
    <s v="Electronics"/>
    <n v="1450.71"/>
    <n v="5"/>
    <n v="0.1"/>
    <d v="2024-05-15T00:00:00"/>
    <n v="326.41000000000003"/>
    <d v="2026-09-09T15:33:34"/>
    <d v="2024-05-01T00:00:00"/>
  </r>
  <r>
    <s v="CUST022"/>
    <s v="David Davis"/>
    <x v="4"/>
    <s v="Books"/>
    <n v="1023.21"/>
    <n v="18"/>
    <n v="0.05"/>
    <d v="2024-05-16T00:00:00"/>
    <n v="388.82"/>
    <d v="2026-09-09T15:33:34"/>
    <d v="2024-05-01T00:00:00"/>
  </r>
  <r>
    <s v="CUST001"/>
    <s v="Mary Jackson"/>
    <x v="0"/>
    <s v="Furniture"/>
    <n v="853.72"/>
    <n v="5"/>
    <n v="0.15"/>
    <d v="2024-05-16T00:00:00"/>
    <n v="253.98"/>
    <d v="2026-09-09T15:33:34"/>
    <d v="2024-05-01T00:00:00"/>
  </r>
  <r>
    <s v="CUST021"/>
    <s v="Sarah Anderson"/>
    <x v="2"/>
    <s v="Electronics"/>
    <n v="967.89"/>
    <n v="10"/>
    <n v="0.1"/>
    <d v="2024-05-17T00:00:00"/>
    <n v="217.78"/>
    <d v="2026-09-09T15:33:34"/>
    <d v="2024-05-01T00:00:00"/>
  </r>
  <r>
    <s v="CUST015"/>
    <s v="Linda Taylor"/>
    <x v="3"/>
    <s v="Office Supplies"/>
    <n v="1200.9000000000001"/>
    <n v="14"/>
    <n v="0.05"/>
    <d v="2024-05-17T00:00:00"/>
    <n v="513.38"/>
    <d v="2026-09-09T15:33:34"/>
    <d v="2024-05-01T00:00:00"/>
  </r>
  <r>
    <s v="CUST012"/>
    <s v="Michael Anderson"/>
    <x v="0"/>
    <s v="Books"/>
    <n v="472.38"/>
    <n v="12"/>
    <n v="0.2"/>
    <d v="2024-05-17T00:00:00"/>
    <n v="151.16"/>
    <d v="2026-09-09T15:33:34"/>
    <d v="2024-05-01T00:00:00"/>
  </r>
  <r>
    <s v="CUST019"/>
    <s v="David Brown"/>
    <x v="1"/>
    <s v="Office Supplies"/>
    <n v="840.92"/>
    <n v="9"/>
    <n v="0.05"/>
    <d v="2024-05-17T00:00:00"/>
    <n v="359.49"/>
    <d v="2026-09-09T15:33:34"/>
    <d v="2024-05-01T00:00:00"/>
  </r>
  <r>
    <s v="CUST028"/>
    <s v="Lisa Davis"/>
    <x v="4"/>
    <s v="Furniture"/>
    <n v="1410.06"/>
    <n v="11"/>
    <n v="0.05"/>
    <d v="2024-05-22T00:00:00"/>
    <n v="468.84"/>
    <d v="2026-09-09T15:33:34"/>
    <d v="2024-05-01T00:00:00"/>
  </r>
  <r>
    <s v="CUST008"/>
    <s v="Mary Wilson"/>
    <x v="4"/>
    <s v="Furniture"/>
    <n v="773.09"/>
    <n v="13"/>
    <n v="0.15"/>
    <d v="2024-05-22T00:00:00"/>
    <n v="229.99"/>
    <d v="2026-09-09T15:33:34"/>
    <d v="2024-05-01T00:00:00"/>
  </r>
  <r>
    <s v="CUST016"/>
    <s v="Emma Wilson"/>
    <x v="1"/>
    <s v="Books"/>
    <n v="580.42999999999995"/>
    <n v="19"/>
    <n v="0.15"/>
    <d v="2024-05-23T00:00:00"/>
    <n v="197.35"/>
    <d v="2026-09-09T15:33:34"/>
    <d v="2024-05-01T00:00:00"/>
  </r>
  <r>
    <s v="CUST005"/>
    <s v="David Smith"/>
    <x v="2"/>
    <s v="Books"/>
    <n v="1151.21"/>
    <n v="15"/>
    <n v="0.1"/>
    <d v="2024-06-02T00:00:00"/>
    <n v="414.44"/>
    <d v="2026-09-09T15:33:34"/>
    <d v="2024-06-01T00:00:00"/>
  </r>
  <r>
    <s v="CUST028"/>
    <s v="James Wilson"/>
    <x v="4"/>
    <s v="Office Supplies"/>
    <n v="1025.98"/>
    <n v="5"/>
    <n v="0.2"/>
    <d v="2024-06-04T00:00:00"/>
    <n v="369.35"/>
    <d v="2026-09-09T15:33:34"/>
    <d v="2024-06-01T00:00:00"/>
  </r>
  <r>
    <s v="CUST023"/>
    <s v="David Davis"/>
    <x v="1"/>
    <s v="Office Supplies"/>
    <n v="556.41999999999996"/>
    <n v="11"/>
    <n v="0.15"/>
    <d v="2024-06-04T00:00:00"/>
    <n v="212.83"/>
    <d v="2026-09-09T15:33:34"/>
    <d v="2024-06-01T00:00:00"/>
  </r>
  <r>
    <s v="CUST021"/>
    <s v="James Wilson"/>
    <x v="4"/>
    <s v="Books"/>
    <n v="840.85"/>
    <n v="19"/>
    <n v="0.1"/>
    <d v="2024-06-05T00:00:00"/>
    <n v="302.70999999999998"/>
    <d v="2026-09-09T15:33:34"/>
    <d v="2024-06-01T00:00:00"/>
  </r>
  <r>
    <s v="CUST026"/>
    <s v="Emma Wilson"/>
    <x v="3"/>
    <s v="Furniture"/>
    <n v="1227.25"/>
    <n v="12"/>
    <n v="0.15"/>
    <d v="2024-06-05T00:00:00"/>
    <n v="365.11"/>
    <d v="2026-09-09T15:33:34"/>
    <d v="2024-06-01T00:00:00"/>
  </r>
  <r>
    <s v="CUST017"/>
    <s v="Linda Davis"/>
    <x v="4"/>
    <s v="Electronics"/>
    <n v="856.7"/>
    <n v="2"/>
    <n v="0"/>
    <d v="2024-06-06T00:00:00"/>
    <n v="214.18"/>
    <d v="2026-09-09T15:33:34"/>
    <d v="2024-06-01T00:00:00"/>
  </r>
  <r>
    <s v="CUST025"/>
    <s v="David Davis"/>
    <x v="4"/>
    <s v="Office Supplies"/>
    <n v="1225.42"/>
    <n v="8"/>
    <n v="0.15"/>
    <d v="2024-06-06T00:00:00"/>
    <n v="468.72"/>
    <d v="2026-09-09T15:33:34"/>
    <d v="2024-06-01T00:00:00"/>
  </r>
  <r>
    <s v="CUST011"/>
    <s v="Mary Davis"/>
    <x v="3"/>
    <s v="Office Supplies"/>
    <n v="1001.57"/>
    <n v="12"/>
    <n v="0"/>
    <d v="2024-06-07T00:00:00"/>
    <n v="450.71"/>
    <d v="2026-09-09T15:33:34"/>
    <d v="2024-06-01T00:00:00"/>
  </r>
  <r>
    <s v="CUST021"/>
    <s v="Michael Anderson"/>
    <x v="1"/>
    <s v="Furniture"/>
    <n v="1186.8499999999999"/>
    <n v="19"/>
    <n v="0.2"/>
    <d v="2024-06-08T00:00:00"/>
    <n v="332.32"/>
    <d v="2026-09-09T15:33:34"/>
    <d v="2024-06-01T00:00:00"/>
  </r>
  <r>
    <s v="CUST008"/>
    <s v="John Brown"/>
    <x v="2"/>
    <s v="Electronics"/>
    <n v="775.45"/>
    <n v="6"/>
    <n v="0.1"/>
    <d v="2024-06-14T00:00:00"/>
    <n v="174.48"/>
    <d v="2026-09-09T15:33:34"/>
    <d v="2024-06-01T00:00:00"/>
  </r>
  <r>
    <s v="CUST007"/>
    <s v="Linda Jackson"/>
    <x v="2"/>
    <s v="Electronics"/>
    <n v="1021.47"/>
    <n v="6"/>
    <n v="0.05"/>
    <d v="2024-06-18T00:00:00"/>
    <n v="242.6"/>
    <d v="2026-09-09T15:33:34"/>
    <d v="2024-06-01T00:00:00"/>
  </r>
  <r>
    <s v="CUST015"/>
    <s v="James Wilson"/>
    <x v="2"/>
    <s v="Clothing"/>
    <n v="1226.6199999999999"/>
    <n v="7"/>
    <n v="0.1"/>
    <d v="2024-06-20T00:00:00"/>
    <n v="551.98"/>
    <d v="2026-09-09T15:33:34"/>
    <d v="2024-06-01T00:00:00"/>
  </r>
  <r>
    <s v="CUST030"/>
    <s v="Sarah Davis"/>
    <x v="2"/>
    <s v="Furniture"/>
    <n v="1086.93"/>
    <n v="2"/>
    <n v="0"/>
    <d v="2024-06-21T00:00:00"/>
    <n v="380.43"/>
    <d v="2026-09-09T15:33:34"/>
    <d v="2024-06-01T00:00:00"/>
  </r>
  <r>
    <s v="CUST002"/>
    <s v="Lisa Davis"/>
    <x v="0"/>
    <s v="Books"/>
    <n v="942.9"/>
    <n v="18"/>
    <n v="0.1"/>
    <d v="2024-06-23T00:00:00"/>
    <n v="339.44"/>
    <d v="2026-09-09T15:33:34"/>
    <d v="2024-06-01T00:00:00"/>
  </r>
  <r>
    <s v="CUST009"/>
    <s v="Emma Davis"/>
    <x v="3"/>
    <s v="Electronics"/>
    <n v="818.8"/>
    <n v="15"/>
    <n v="0.15"/>
    <d v="2024-06-25T00:00:00"/>
    <n v="173.99"/>
    <d v="2026-09-09T15:33:34"/>
    <d v="2024-06-01T00:00:00"/>
  </r>
  <r>
    <s v="CUST005"/>
    <s v="Robert Anderson"/>
    <x v="2"/>
    <s v="Furniture"/>
    <n v="919.04"/>
    <n v="10"/>
    <n v="0.2"/>
    <d v="2024-06-25T00:00:00"/>
    <n v="257.33"/>
    <d v="2026-09-09T15:33:34"/>
    <d v="2024-06-01T00:00:00"/>
  </r>
  <r>
    <s v="CUST030"/>
    <s v="Emma Taylor"/>
    <x v="4"/>
    <s v="Books"/>
    <n v="973.26"/>
    <n v="11"/>
    <n v="0"/>
    <d v="2024-06-27T00:00:00"/>
    <n v="389.3"/>
    <d v="2026-09-09T15:33:34"/>
    <d v="2024-06-01T00:00:00"/>
  </r>
  <r>
    <s v="CUST029"/>
    <s v="Sarah Davis"/>
    <x v="3"/>
    <s v="Electronics"/>
    <n v="741.61"/>
    <n v="1"/>
    <n v="0.2"/>
    <d v="2024-06-28T00:00:00"/>
    <n v="148.32"/>
    <d v="2026-09-09T15:33:34"/>
    <d v="2024-06-01T00:00:00"/>
  </r>
  <r>
    <s v="CUST003"/>
    <s v="Emma Davis"/>
    <x v="3"/>
    <s v="Books"/>
    <n v="1248.82"/>
    <n v="2"/>
    <n v="0.1"/>
    <d v="2024-06-30T00:00:00"/>
    <n v="449.58"/>
    <d v="2026-09-09T15:33:34"/>
    <d v="2024-06-01T00:00:00"/>
  </r>
  <r>
    <s v="CUST012"/>
    <s v="Mary Wilson"/>
    <x v="0"/>
    <s v="Clothing"/>
    <n v="1360.36"/>
    <n v="17"/>
    <n v="0"/>
    <d v="2024-06-30T00:00:00"/>
    <n v="680.18"/>
    <d v="2026-09-09T15:33:34"/>
    <d v="2024-06-01T00:00:00"/>
  </r>
  <r>
    <s v="CUST021"/>
    <s v="Mary Davis"/>
    <x v="1"/>
    <s v="Books"/>
    <n v="1383.3"/>
    <n v="8"/>
    <n v="0.1"/>
    <d v="2024-07-05T00:00:00"/>
    <n v="497.99"/>
    <d v="2026-09-09T15:33:34"/>
    <d v="2024-07-01T00:00:00"/>
  </r>
  <r>
    <s v="CUST010"/>
    <s v="David Brown"/>
    <x v="4"/>
    <s v="Office Supplies"/>
    <n v="488.99"/>
    <n v="9"/>
    <n v="0"/>
    <d v="2024-07-06T00:00:00"/>
    <n v="220.05"/>
    <d v="2026-09-09T15:33:34"/>
    <d v="2024-07-01T00:00:00"/>
  </r>
  <r>
    <s v="CUST026"/>
    <s v="Mary Davis"/>
    <x v="1"/>
    <s v="Furniture"/>
    <n v="933.71"/>
    <n v="17"/>
    <n v="0.1"/>
    <d v="2024-07-08T00:00:00"/>
    <n v="294.12"/>
    <d v="2026-09-09T15:33:34"/>
    <d v="2024-07-01T00:00:00"/>
  </r>
  <r>
    <s v="CUST003"/>
    <s v="James Davis"/>
    <x v="0"/>
    <s v="Electronics"/>
    <n v="1005.53"/>
    <n v="17"/>
    <n v="0.2"/>
    <d v="2024-07-08T00:00:00"/>
    <n v="201.11"/>
    <d v="2026-09-09T15:33:34"/>
    <d v="2024-07-01T00:00:00"/>
  </r>
  <r>
    <s v="CUST029"/>
    <s v="Emma Wilson"/>
    <x v="2"/>
    <s v="Electronics"/>
    <n v="1100.0999999999999"/>
    <n v="5"/>
    <n v="0.05"/>
    <d v="2024-07-09T00:00:00"/>
    <n v="261.27"/>
    <d v="2026-09-09T15:33:34"/>
    <d v="2024-07-01T00:00:00"/>
  </r>
  <r>
    <s v="CUST003"/>
    <s v="James Wilson"/>
    <x v="3"/>
    <s v="Furniture"/>
    <n v="1034.7"/>
    <n v="15"/>
    <n v="0.15"/>
    <d v="2024-07-14T00:00:00"/>
    <n v="307.82"/>
    <d v="2026-09-09T15:33:34"/>
    <d v="2024-07-01T00:00:00"/>
  </r>
  <r>
    <s v="CUST002"/>
    <s v="Mary Davis"/>
    <x v="2"/>
    <s v="Books"/>
    <n v="876.44"/>
    <n v="12"/>
    <n v="0.05"/>
    <d v="2024-07-15T00:00:00"/>
    <n v="333.05"/>
    <d v="2026-09-09T15:33:34"/>
    <d v="2024-07-01T00:00:00"/>
  </r>
  <r>
    <s v="CUST020"/>
    <s v="David Brown"/>
    <x v="0"/>
    <s v="Furniture"/>
    <n v="1371.34"/>
    <n v="5"/>
    <n v="0.05"/>
    <d v="2024-07-15T00:00:00"/>
    <n v="455.97"/>
    <d v="2026-09-09T15:33:34"/>
    <d v="2024-07-01T00:00:00"/>
  </r>
  <r>
    <s v="CUST021"/>
    <s v="Mary Jackson"/>
    <x v="3"/>
    <s v="Electronics"/>
    <n v="1020.26"/>
    <n v="11"/>
    <n v="0.05"/>
    <d v="2024-07-21T00:00:00"/>
    <n v="242.31"/>
    <d v="2026-09-09T15:33:34"/>
    <d v="2024-07-01T00:00:00"/>
  </r>
  <r>
    <s v="CUST008"/>
    <s v="James Davis"/>
    <x v="4"/>
    <s v="Office Supplies"/>
    <n v="804.81"/>
    <n v="1"/>
    <n v="0.05"/>
    <d v="2024-07-29T00:00:00"/>
    <n v="344.06"/>
    <d v="2026-09-09T15:33:34"/>
    <d v="2024-07-01T00:00:00"/>
  </r>
  <r>
    <s v="CUST030"/>
    <s v="David Brown"/>
    <x v="4"/>
    <s v="Electronics"/>
    <n v="608.66"/>
    <n v="1"/>
    <n v="0.05"/>
    <d v="2024-07-30T00:00:00"/>
    <n v="144.56"/>
    <d v="2026-09-09T15:33:34"/>
    <d v="2024-07-01T00:00:00"/>
  </r>
  <r>
    <s v="CUST020"/>
    <s v="Linda Moore"/>
    <x v="2"/>
    <s v="Office Supplies"/>
    <n v="981.2"/>
    <n v="19"/>
    <n v="0"/>
    <d v="2024-07-31T00:00:00"/>
    <n v="441.54"/>
    <d v="2026-09-09T15:33:34"/>
    <d v="2024-07-01T00:00:00"/>
  </r>
  <r>
    <s v="CUST024"/>
    <s v="David Brown"/>
    <x v="1"/>
    <s v="Electronics"/>
    <n v="539.77"/>
    <n v="10"/>
    <n v="0.15"/>
    <d v="2024-08-05T00:00:00"/>
    <n v="114.7"/>
    <d v="2026-09-09T15:33:34"/>
    <d v="2024-08-01T00:00:00"/>
  </r>
  <r>
    <s v="CUST012"/>
    <s v="David Anderson"/>
    <x v="2"/>
    <s v="Books"/>
    <n v="804.45"/>
    <n v="5"/>
    <n v="0.2"/>
    <d v="2024-08-05T00:00:00"/>
    <n v="257.42"/>
    <d v="2026-09-09T15:33:34"/>
    <d v="2024-08-01T00:00:00"/>
  </r>
  <r>
    <s v="CUST024"/>
    <s v="Emma Davis"/>
    <x v="0"/>
    <s v="Electronics"/>
    <n v="1526.6"/>
    <n v="13"/>
    <n v="0.2"/>
    <d v="2024-08-08T00:00:00"/>
    <n v="305.32"/>
    <d v="2026-09-09T15:33:34"/>
    <d v="2024-08-01T00:00:00"/>
  </r>
  <r>
    <s v="CUST012"/>
    <s v="Linda Wilson"/>
    <x v="0"/>
    <s v="Electronics"/>
    <n v="1215.26"/>
    <n v="5"/>
    <n v="0.15"/>
    <d v="2024-08-09T00:00:00"/>
    <n v="258.24"/>
    <d v="2026-09-09T15:33:34"/>
    <d v="2024-08-01T00:00:00"/>
  </r>
  <r>
    <s v="CUST005"/>
    <s v="Linda Taylor"/>
    <x v="4"/>
    <s v="Furniture"/>
    <n v="1261.3399999999999"/>
    <n v="3"/>
    <n v="0"/>
    <d v="2024-08-15T00:00:00"/>
    <n v="441.47"/>
    <d v="2026-09-09T15:33:34"/>
    <d v="2024-08-01T00:00:00"/>
  </r>
  <r>
    <s v="CUST004"/>
    <s v="Lisa Thomas"/>
    <x v="3"/>
    <s v="Furniture"/>
    <n v="518.07000000000005"/>
    <n v="7"/>
    <n v="0.05"/>
    <d v="2024-08-18T00:00:00"/>
    <n v="172.26"/>
    <d v="2026-09-09T15:33:34"/>
    <d v="2024-08-01T00:00:00"/>
  </r>
  <r>
    <s v="CUST026"/>
    <s v="Linda Wilson"/>
    <x v="0"/>
    <s v="Office Supplies"/>
    <n v="1111.3399999999999"/>
    <n v="1"/>
    <n v="0"/>
    <d v="2024-08-19T00:00:00"/>
    <n v="500.1"/>
    <d v="2026-09-09T15:33:34"/>
    <d v="2024-08-01T00:00:00"/>
  </r>
  <r>
    <s v="CUST030"/>
    <s v="Mary Davis"/>
    <x v="1"/>
    <s v="Clothing"/>
    <n v="1291.47"/>
    <n v="18"/>
    <n v="0.1"/>
    <d v="2024-08-22T00:00:00"/>
    <n v="581.16"/>
    <d v="2026-09-09T15:33:34"/>
    <d v="2024-08-01T00:00:00"/>
  </r>
  <r>
    <s v="CUST007"/>
    <s v="David Brown"/>
    <x v="3"/>
    <s v="Books"/>
    <n v="679.71"/>
    <n v="19"/>
    <n v="0"/>
    <d v="2024-08-30T00:00:00"/>
    <n v="271.88"/>
    <d v="2026-09-09T15:33:34"/>
    <d v="2024-08-01T00:00:00"/>
  </r>
  <r>
    <s v="CUST020"/>
    <s v="Linda Jackson"/>
    <x v="1"/>
    <s v="Furniture"/>
    <n v="1143.69"/>
    <n v="17"/>
    <n v="0"/>
    <d v="2024-08-30T00:00:00"/>
    <n v="400.29"/>
    <d v="2026-09-09T15:33:34"/>
    <d v="2024-08-01T00:00:00"/>
  </r>
  <r>
    <s v="CUST028"/>
    <s v="Linda Brown"/>
    <x v="4"/>
    <s v="Electronics"/>
    <n v="790.08"/>
    <n v="7"/>
    <n v="0.1"/>
    <d v="2024-09-01T00:00:00"/>
    <n v="177.77"/>
    <d v="2026-09-09T15:33:34"/>
    <d v="2024-09-01T00:00:00"/>
  </r>
  <r>
    <s v="CUST005"/>
    <s v="Lisa Davis"/>
    <x v="4"/>
    <s v="Books"/>
    <n v="1070.68"/>
    <n v="7"/>
    <n v="0.05"/>
    <d v="2024-09-01T00:00:00"/>
    <n v="406.86"/>
    <d v="2026-09-09T15:33:34"/>
    <d v="2024-09-01T00:00:00"/>
  </r>
  <r>
    <s v="CUST015"/>
    <s v="David Thomas"/>
    <x v="0"/>
    <s v="Clothing"/>
    <n v="1168.8900000000001"/>
    <n v="4"/>
    <n v="0.1"/>
    <d v="2024-09-09T00:00:00"/>
    <n v="526"/>
    <d v="2026-09-09T15:33:34"/>
    <d v="2024-09-01T00:00:00"/>
  </r>
  <r>
    <s v="CUST003"/>
    <s v="James Davis"/>
    <x v="2"/>
    <s v="Electronics"/>
    <n v="1335.87"/>
    <n v="17"/>
    <n v="0"/>
    <d v="2024-09-09T00:00:00"/>
    <n v="333.97"/>
    <d v="2026-09-09T15:33:34"/>
    <d v="2024-09-01T00:00:00"/>
  </r>
  <r>
    <s v="CUST023"/>
    <s v="David Brown"/>
    <x v="1"/>
    <s v="Furniture"/>
    <n v="873.7"/>
    <n v="9"/>
    <n v="0"/>
    <d v="2024-09-11T00:00:00"/>
    <n v="305.8"/>
    <d v="2026-09-09T15:33:34"/>
    <d v="2024-09-01T00:00:00"/>
  </r>
  <r>
    <s v="CUST004"/>
    <s v="Sarah Davis"/>
    <x v="0"/>
    <s v="Office Supplies"/>
    <n v="1443.98"/>
    <n v="19"/>
    <n v="0"/>
    <d v="2024-09-12T00:00:00"/>
    <n v="649.79"/>
    <d v="2026-09-09T15:33:34"/>
    <d v="2024-09-01T00:00:00"/>
  </r>
  <r>
    <s v="CUST023"/>
    <s v="James Wilson"/>
    <x v="1"/>
    <s v="Office Supplies"/>
    <n v="1154.33"/>
    <n v="11"/>
    <n v="0.15"/>
    <d v="2024-09-14T00:00:00"/>
    <n v="441.53"/>
    <d v="2026-09-09T15:33:34"/>
    <d v="2024-09-01T00:00:00"/>
  </r>
  <r>
    <s v="CUST022"/>
    <s v="Linda Brown"/>
    <x v="2"/>
    <s v="Books"/>
    <n v="1264.49"/>
    <n v="16"/>
    <n v="0.05"/>
    <d v="2024-09-14T00:00:00"/>
    <n v="480.51"/>
    <d v="2026-09-09T15:33:34"/>
    <d v="2024-09-01T00:00:00"/>
  </r>
  <r>
    <s v="CUST007"/>
    <s v="Emma Taylor"/>
    <x v="0"/>
    <s v="Furniture"/>
    <n v="1101.55"/>
    <n v="4"/>
    <n v="0.1"/>
    <d v="2024-09-16T00:00:00"/>
    <n v="346.99"/>
    <d v="2026-09-09T15:33:34"/>
    <d v="2024-09-01T00:00:00"/>
  </r>
  <r>
    <s v="CUST013"/>
    <s v="Robert Anderson"/>
    <x v="2"/>
    <s v="Furniture"/>
    <n v="727.73"/>
    <n v="1"/>
    <n v="0.1"/>
    <d v="2024-09-17T00:00:00"/>
    <n v="229.23"/>
    <d v="2026-09-09T15:33:34"/>
    <d v="2024-09-01T00:00:00"/>
  </r>
  <r>
    <s v="CUST027"/>
    <s v="Emma Davis"/>
    <x v="1"/>
    <s v="Office Supplies"/>
    <n v="875.41"/>
    <n v="13"/>
    <n v="0.15"/>
    <d v="2024-09-17T00:00:00"/>
    <n v="334.84"/>
    <d v="2026-09-09T15:33:34"/>
    <d v="2024-09-01T00:00:00"/>
  </r>
  <r>
    <s v="CUST003"/>
    <s v="James Wilson"/>
    <x v="0"/>
    <s v="Electronics"/>
    <n v="1158.94"/>
    <n v="19"/>
    <n v="0.2"/>
    <d v="2024-09-18T00:00:00"/>
    <n v="231.79"/>
    <d v="2026-09-09T15:33:34"/>
    <d v="2024-09-01T00:00:00"/>
  </r>
  <r>
    <s v="CUST018"/>
    <s v="Mary Jackson"/>
    <x v="2"/>
    <s v="Books"/>
    <n v="966.3"/>
    <n v="2"/>
    <n v="0.15"/>
    <d v="2024-09-22T00:00:00"/>
    <n v="328.54"/>
    <d v="2026-09-09T15:33:34"/>
    <d v="2024-09-01T00:00:00"/>
  </r>
  <r>
    <s v="CUST020"/>
    <s v="James Taylor"/>
    <x v="2"/>
    <s v="Books"/>
    <n v="917.48"/>
    <n v="6"/>
    <n v="0"/>
    <d v="2024-09-23T00:00:00"/>
    <n v="366.99"/>
    <d v="2026-09-09T15:33:34"/>
    <d v="2024-09-01T00:00:00"/>
  </r>
  <r>
    <s v="CUST029"/>
    <s v="Emma Wilson"/>
    <x v="0"/>
    <s v="Furniture"/>
    <n v="1172.97"/>
    <n v="7"/>
    <n v="0.15"/>
    <d v="2024-09-24T00:00:00"/>
    <n v="348.96"/>
    <d v="2026-09-09T15:33:34"/>
    <d v="2024-09-01T00:00:00"/>
  </r>
  <r>
    <s v="CUST021"/>
    <s v="James Wilson"/>
    <x v="3"/>
    <s v="Clothing"/>
    <n v="1205.82"/>
    <n v="11"/>
    <n v="0.1"/>
    <d v="2024-09-24T00:00:00"/>
    <n v="542.62"/>
    <d v="2026-09-09T15:33:34"/>
    <d v="2024-09-01T00:00:00"/>
  </r>
  <r>
    <s v="CUST017"/>
    <s v="Sarah Davis"/>
    <x v="0"/>
    <s v="Office Supplies"/>
    <n v="826.93"/>
    <n v="10"/>
    <n v="0.2"/>
    <d v="2024-09-29T00:00:00"/>
    <n v="297.69"/>
    <d v="2026-09-09T15:33:34"/>
    <d v="2024-09-01T00:00:00"/>
  </r>
  <r>
    <s v="CUST003"/>
    <s v="James Wilson"/>
    <x v="4"/>
    <s v="Clothing"/>
    <n v="902.19"/>
    <n v="12"/>
    <n v="0"/>
    <d v="2024-09-29T00:00:00"/>
    <n v="451.1"/>
    <d v="2026-09-09T15:33:34"/>
    <d v="2024-09-01T00:00:00"/>
  </r>
  <r>
    <s v="CUST027"/>
    <s v="Emma Davis"/>
    <x v="3"/>
    <s v="Books"/>
    <n v="585.97"/>
    <n v="17"/>
    <n v="0.1"/>
    <d v="2024-09-30T00:00:00"/>
    <n v="210.95"/>
    <d v="2026-09-09T15:33:34"/>
    <d v="2024-09-01T00:00:00"/>
  </r>
  <r>
    <s v="CUST016"/>
    <s v="Michael Anderson"/>
    <x v="3"/>
    <s v="Clothing"/>
    <n v="990.19"/>
    <n v="8"/>
    <n v="0.1"/>
    <d v="2024-09-30T00:00:00"/>
    <n v="445.59"/>
    <d v="2026-09-09T15:33:34"/>
    <d v="2024-09-01T00:00:00"/>
  </r>
  <r>
    <s v="CUST008"/>
    <s v="David Davis"/>
    <x v="4"/>
    <s v="Electronics"/>
    <n v="1014.09"/>
    <n v="13"/>
    <n v="0.2"/>
    <d v="2024-10-02T00:00:00"/>
    <n v="202.82"/>
    <d v="2026-09-09T15:33:34"/>
    <d v="2024-10-01T00:00:00"/>
  </r>
  <r>
    <s v="CUST012"/>
    <s v="Lisa Davis"/>
    <x v="3"/>
    <s v="Electronics"/>
    <n v="925.29"/>
    <n v="17"/>
    <n v="0"/>
    <d v="2024-10-05T00:00:00"/>
    <n v="231.32"/>
    <d v="2026-09-09T15:33:34"/>
    <d v="2024-10-01T00:00:00"/>
  </r>
  <r>
    <s v="CUST025"/>
    <s v="Mary Jackson"/>
    <x v="1"/>
    <s v="Furniture"/>
    <n v="1286.54"/>
    <n v="8"/>
    <n v="0"/>
    <d v="2024-10-10T00:00:00"/>
    <n v="450.29"/>
    <d v="2026-09-09T15:33:34"/>
    <d v="2024-10-01T00:00:00"/>
  </r>
  <r>
    <s v="CUST014"/>
    <s v="Sarah Davis"/>
    <x v="2"/>
    <s v="Books"/>
    <n v="961.62"/>
    <n v="8"/>
    <n v="0.2"/>
    <d v="2024-10-12T00:00:00"/>
    <n v="307.72000000000003"/>
    <d v="2026-09-09T15:33:34"/>
    <d v="2024-10-01T00:00:00"/>
  </r>
  <r>
    <s v="CUST008"/>
    <s v="James Wilson"/>
    <x v="1"/>
    <s v="Books"/>
    <n v="1081.1400000000001"/>
    <n v="19"/>
    <n v="0.15"/>
    <d v="2024-10-12T00:00:00"/>
    <n v="367.59"/>
    <d v="2026-09-09T15:33:34"/>
    <d v="2024-10-01T00:00:00"/>
  </r>
  <r>
    <s v="CUST015"/>
    <s v="James Wilson"/>
    <x v="0"/>
    <s v="Clothing"/>
    <n v="1923.66"/>
    <n v="9"/>
    <n v="0.2"/>
    <d v="2024-10-15T00:00:00"/>
    <n v="769.46"/>
    <d v="2026-09-09T15:33:34"/>
    <d v="2024-10-01T00:00:00"/>
  </r>
  <r>
    <s v="CUST025"/>
    <s v="Emma Taylor"/>
    <x v="4"/>
    <s v="Clothing"/>
    <n v="728.71"/>
    <n v="14"/>
    <n v="0.1"/>
    <d v="2024-10-16T00:00:00"/>
    <n v="327.92"/>
    <d v="2026-09-09T15:33:34"/>
    <d v="2024-10-01T00:00:00"/>
  </r>
  <r>
    <s v="CUST019"/>
    <s v="Linda Jackson"/>
    <x v="4"/>
    <s v="Clothing"/>
    <n v="1301.8900000000001"/>
    <n v="7"/>
    <n v="0.15"/>
    <d v="2024-10-16T00:00:00"/>
    <n v="553.29999999999995"/>
    <d v="2026-09-09T15:33:34"/>
    <d v="2024-10-01T00:00:00"/>
  </r>
  <r>
    <s v="CUST024"/>
    <s v="Emma Taylor"/>
    <x v="1"/>
    <s v="Books"/>
    <n v="980.18"/>
    <n v="16"/>
    <n v="0.1"/>
    <d v="2024-10-17T00:00:00"/>
    <n v="352.86"/>
    <d v="2026-09-09T15:33:34"/>
    <d v="2024-10-01T00:00:00"/>
  </r>
  <r>
    <s v="CUST027"/>
    <s v="James Wilson"/>
    <x v="0"/>
    <s v="Clothing"/>
    <n v="697.57"/>
    <n v="17"/>
    <n v="0.1"/>
    <d v="2024-10-19T00:00:00"/>
    <n v="313.91000000000003"/>
    <d v="2026-09-09T15:33:34"/>
    <d v="2024-10-01T00:00:00"/>
  </r>
  <r>
    <s v="CUST006"/>
    <s v="David Anderson"/>
    <x v="0"/>
    <s v="Furniture"/>
    <n v="1193.6099999999999"/>
    <n v="1"/>
    <n v="0.15"/>
    <d v="2024-10-19T00:00:00"/>
    <n v="355.1"/>
    <d v="2026-09-09T15:33:34"/>
    <d v="2024-10-01T00:00:00"/>
  </r>
  <r>
    <s v="CUST009"/>
    <s v="Emma Davis"/>
    <x v="2"/>
    <s v="Electronics"/>
    <n v="771.02"/>
    <n v="1"/>
    <n v="0"/>
    <d v="2024-10-20T00:00:00"/>
    <n v="192.76"/>
    <d v="2026-09-09T15:33:34"/>
    <d v="2024-10-01T00:00:00"/>
  </r>
  <r>
    <s v="CUST003"/>
    <s v="Linda Moore"/>
    <x v="3"/>
    <s v="Clothing"/>
    <n v="661.09"/>
    <n v="1"/>
    <n v="0.2"/>
    <d v="2024-10-28T00:00:00"/>
    <n v="264.44"/>
    <d v="2026-09-09T15:33:34"/>
    <d v="2024-10-01T00:00:00"/>
  </r>
  <r>
    <s v="CUST012"/>
    <s v="David Brown"/>
    <x v="0"/>
    <s v="Electronics"/>
    <n v="688.83"/>
    <n v="15"/>
    <n v="0"/>
    <d v="2024-10-30T00:00:00"/>
    <n v="172.21"/>
    <d v="2026-09-09T15:33:34"/>
    <d v="2024-10-01T00:00:00"/>
  </r>
  <r>
    <s v="CUST013"/>
    <s v="Linda Wilson"/>
    <x v="4"/>
    <s v="Books"/>
    <n v="1249.0999999999999"/>
    <n v="4"/>
    <n v="0.05"/>
    <d v="2024-11-01T00:00:00"/>
    <n v="474.66"/>
    <d v="2026-09-09T15:33:34"/>
    <d v="2024-11-01T00:00:00"/>
  </r>
  <r>
    <s v="CUST008"/>
    <s v="James Wilson"/>
    <x v="1"/>
    <s v="Office Supplies"/>
    <n v="1014.22"/>
    <n v="14"/>
    <n v="0.05"/>
    <d v="2024-11-03T00:00:00"/>
    <n v="433.58"/>
    <d v="2026-09-09T15:33:34"/>
    <d v="2024-11-01T00:00:00"/>
  </r>
  <r>
    <s v="CUST025"/>
    <s v="Lisa Davis"/>
    <x v="1"/>
    <s v="Books"/>
    <n v="1010.58"/>
    <n v="2"/>
    <n v="0.15"/>
    <d v="2024-11-09T00:00:00"/>
    <n v="343.6"/>
    <d v="2026-09-09T15:33:34"/>
    <d v="2024-11-01T00:00:00"/>
  </r>
  <r>
    <s v="CUST026"/>
    <s v="Mary Wilson"/>
    <x v="3"/>
    <s v="Furniture"/>
    <n v="957.29"/>
    <n v="4"/>
    <n v="0.05"/>
    <d v="2024-11-09T00:00:00"/>
    <n v="318.3"/>
    <d v="2026-09-09T15:33:34"/>
    <d v="2024-11-01T00:00:00"/>
  </r>
  <r>
    <s v="CUST001"/>
    <s v="Lisa Thomas"/>
    <x v="3"/>
    <s v="Furniture"/>
    <n v="1077.92"/>
    <n v="3"/>
    <n v="0.05"/>
    <d v="2024-11-12T00:00:00"/>
    <n v="358.41"/>
    <d v="2026-09-09T15:33:34"/>
    <d v="2024-11-01T00:00:00"/>
  </r>
  <r>
    <s v="CUST028"/>
    <s v="Linda Brown"/>
    <x v="2"/>
    <s v="Clothing"/>
    <n v="1163.01"/>
    <n v="5"/>
    <n v="0"/>
    <d v="2024-11-15T00:00:00"/>
    <n v="581.5"/>
    <d v="2026-09-09T15:33:34"/>
    <d v="2024-11-01T00:00:00"/>
  </r>
  <r>
    <s v="CUST025"/>
    <s v="Lisa Thomas"/>
    <x v="1"/>
    <s v="Office Supplies"/>
    <n v="1014.56"/>
    <n v="10"/>
    <n v="0.1"/>
    <d v="2024-11-16T00:00:00"/>
    <n v="410.9"/>
    <d v="2026-09-09T15:33:34"/>
    <d v="2024-11-01T00:00:00"/>
  </r>
  <r>
    <s v="CUST019"/>
    <s v="James Taylor"/>
    <x v="2"/>
    <s v="Electronics"/>
    <n v="718.04"/>
    <n v="14"/>
    <n v="0"/>
    <d v="2024-11-17T00:00:00"/>
    <n v="179.51"/>
    <d v="2026-09-09T15:33:34"/>
    <d v="2024-11-01T00:00:00"/>
  </r>
  <r>
    <s v="CUST004"/>
    <s v="James Taylor"/>
    <x v="4"/>
    <s v="Clothing"/>
    <n v="1277.8499999999999"/>
    <n v="18"/>
    <n v="0.2"/>
    <d v="2024-11-17T00:00:00"/>
    <n v="511.14"/>
    <d v="2026-09-09T15:33:34"/>
    <d v="2024-11-01T00:00:00"/>
  </r>
  <r>
    <s v="CUST024"/>
    <s v="James Wilson"/>
    <x v="3"/>
    <s v="Electronics"/>
    <n v="706.73"/>
    <n v="1"/>
    <n v="0.15"/>
    <d v="2024-11-17T00:00:00"/>
    <n v="150.18"/>
    <d v="2026-09-09T15:33:34"/>
    <d v="2024-11-01T00:00:00"/>
  </r>
  <r>
    <s v="CUST002"/>
    <s v="Linda Brown"/>
    <x v="1"/>
    <s v="Electronics"/>
    <n v="1410.59"/>
    <n v="15"/>
    <n v="0"/>
    <d v="2024-11-19T00:00:00"/>
    <n v="352.65"/>
    <d v="2026-09-09T15:33:34"/>
    <d v="2024-11-01T00:00:00"/>
  </r>
  <r>
    <s v="CUST009"/>
    <s v="Emma Wilson"/>
    <x v="2"/>
    <s v="Furniture"/>
    <n v="1350.33"/>
    <n v="10"/>
    <n v="0"/>
    <d v="2024-11-19T00:00:00"/>
    <n v="472.62"/>
    <d v="2026-09-09T15:33:34"/>
    <d v="2024-11-01T00:00:00"/>
  </r>
  <r>
    <s v="CUST029"/>
    <s v="Lisa Thomas"/>
    <x v="1"/>
    <s v="Electronics"/>
    <n v="919.18"/>
    <n v="4"/>
    <n v="0.15"/>
    <d v="2024-11-19T00:00:00"/>
    <n v="195.33"/>
    <d v="2026-09-09T15:33:34"/>
    <d v="2024-11-01T00:00:00"/>
  </r>
  <r>
    <s v="CUST027"/>
    <s v="James Wilson"/>
    <x v="0"/>
    <s v="Electronics"/>
    <n v="258.51"/>
    <n v="19"/>
    <n v="0"/>
    <d v="2024-11-20T00:00:00"/>
    <n v="64.63"/>
    <d v="2026-09-09T15:33:34"/>
    <d v="2024-11-01T00:00:00"/>
  </r>
  <r>
    <s v="CUST011"/>
    <s v="Emma Wilson"/>
    <x v="1"/>
    <s v="Books"/>
    <n v="1213.48"/>
    <n v="5"/>
    <n v="0.05"/>
    <d v="2024-11-20T00:00:00"/>
    <n v="461.12"/>
    <d v="2026-09-09T15:33:34"/>
    <d v="2024-11-01T00:00:00"/>
  </r>
  <r>
    <s v="CUST021"/>
    <s v="Emma Davis"/>
    <x v="4"/>
    <s v="Books"/>
    <n v="1150.28"/>
    <n v="8"/>
    <n v="0.05"/>
    <d v="2024-11-26T00:00:00"/>
    <n v="437.11"/>
    <d v="2026-09-09T15:33:34"/>
    <d v="2024-11-01T00:00:00"/>
  </r>
  <r>
    <s v="CUST014"/>
    <s v="David Anderson"/>
    <x v="2"/>
    <s v="Furniture"/>
    <n v="853.86"/>
    <n v="8"/>
    <n v="0.1"/>
    <d v="2024-11-26T00:00:00"/>
    <n v="268.97000000000003"/>
    <d v="2026-09-09T15:33:34"/>
    <d v="2024-11-01T00:00:00"/>
  </r>
  <r>
    <s v="CUST018"/>
    <s v="Lisa Thomas"/>
    <x v="2"/>
    <s v="Electronics"/>
    <n v="1061.04"/>
    <n v="1"/>
    <n v="0"/>
    <d v="2024-11-28T00:00:00"/>
    <n v="265.26"/>
    <d v="2026-09-09T15:33:34"/>
    <d v="2024-11-01T00:00:00"/>
  </r>
  <r>
    <s v="CUST001"/>
    <s v="Sarah Anderson"/>
    <x v="0"/>
    <s v="Electronics"/>
    <n v="894.55"/>
    <n v="19"/>
    <n v="0.2"/>
    <d v="2024-11-29T00:00:00"/>
    <n v="178.91"/>
    <d v="2026-09-09T15:33:34"/>
    <d v="2024-11-01T00:00:00"/>
  </r>
  <r>
    <s v="CUST007"/>
    <s v="Emma Davis"/>
    <x v="3"/>
    <s v="Office Supplies"/>
    <n v="833.91"/>
    <n v="3"/>
    <n v="0.05"/>
    <d v="2024-11-30T00:00:00"/>
    <n v="356.5"/>
    <d v="2026-09-09T15:33:34"/>
    <d v="2024-11-01T00:00:00"/>
  </r>
  <r>
    <s v="CUST015"/>
    <s v="David Anderson"/>
    <x v="0"/>
    <s v="Furniture"/>
    <n v="820.19"/>
    <n v="4"/>
    <n v="0.2"/>
    <d v="2024-12-04T00:00:00"/>
    <n v="229.65"/>
    <d v="2026-09-09T15:33:34"/>
    <d v="2024-12-01T00:00:00"/>
  </r>
  <r>
    <s v="CUST015"/>
    <s v="Emma Davis"/>
    <x v="4"/>
    <s v="Electronics"/>
    <n v="511.74"/>
    <n v="8"/>
    <n v="0.05"/>
    <d v="2024-12-05T00:00:00"/>
    <n v="121.54"/>
    <d v="2026-09-09T15:33:34"/>
    <d v="2024-12-01T00:00:00"/>
  </r>
  <r>
    <s v="CUST002"/>
    <s v="Emma Wilson"/>
    <x v="2"/>
    <s v="Furniture"/>
    <n v="806.03"/>
    <n v="19"/>
    <n v="0.05"/>
    <d v="2024-12-12T00:00:00"/>
    <n v="268"/>
    <d v="2026-09-09T15:33:34"/>
    <d v="2024-12-01T00:00:00"/>
  </r>
  <r>
    <s v="CUST001"/>
    <s v="Michael Anderson"/>
    <x v="4"/>
    <s v="Furniture"/>
    <n v="1432.47"/>
    <n v="16"/>
    <n v="0.15"/>
    <d v="2024-12-14T00:00:00"/>
    <n v="426.16"/>
    <d v="2026-09-09T15:33:34"/>
    <d v="2024-12-01T00:00:00"/>
  </r>
  <r>
    <s v="CUST027"/>
    <s v="Linda Wilson"/>
    <x v="4"/>
    <s v="Electronics"/>
    <n v="1488.58"/>
    <n v="10"/>
    <n v="0.15"/>
    <d v="2024-12-14T00:00:00"/>
    <n v="316.32"/>
    <d v="2026-09-09T15:33:34"/>
    <d v="2024-12-01T00:00:00"/>
  </r>
  <r>
    <s v="CUST026"/>
    <s v="Emma Taylor"/>
    <x v="1"/>
    <s v="Books"/>
    <n v="1231.26"/>
    <n v="9"/>
    <n v="0"/>
    <d v="2024-12-20T00:00:00"/>
    <n v="492.5"/>
    <d v="2026-09-09T15:33:34"/>
    <d v="2024-12-01T00:00:00"/>
  </r>
  <r>
    <s v="CUST026"/>
    <s v="Sarah Anderson"/>
    <x v="0"/>
    <s v="Electronics"/>
    <n v="1161.67"/>
    <n v="19"/>
    <n v="0.2"/>
    <d v="2024-12-21T00:00:00"/>
    <n v="232.33"/>
    <d v="2026-09-09T15:33:34"/>
    <d v="2024-12-01T00:00:00"/>
  </r>
  <r>
    <s v="CUST022"/>
    <s v="Lisa Thomas"/>
    <x v="4"/>
    <s v="Office Supplies"/>
    <n v="388.23"/>
    <n v="16"/>
    <n v="0.05"/>
    <d v="2024-12-24T00:00:00"/>
    <n v="165.97"/>
    <d v="2026-09-09T15:33:34"/>
    <d v="2024-12-01T00:00:00"/>
  </r>
  <r>
    <s v="CUST004"/>
    <s v="Mary Davis"/>
    <x v="3"/>
    <s v="Clothing"/>
    <n v="1589.42"/>
    <n v="6"/>
    <n v="0.15"/>
    <d v="2024-12-25T00:00:00"/>
    <n v="675.5"/>
    <d v="2026-09-09T15:33:34"/>
    <d v="2024-12-01T00:00:00"/>
  </r>
  <r>
    <s v="CUST001"/>
    <s v="David Anderson"/>
    <x v="3"/>
    <s v="Clothing"/>
    <n v="336.66"/>
    <n v="13"/>
    <n v="0.2"/>
    <d v="2024-12-25T00:00:00"/>
    <n v="134.66"/>
    <d v="2026-09-09T15:33:34"/>
    <d v="2024-12-01T00:00:00"/>
  </r>
  <r>
    <s v="CUST022"/>
    <s v="James Wilson"/>
    <x v="0"/>
    <s v="Books"/>
    <n v="1353.79"/>
    <n v="14"/>
    <n v="0.1"/>
    <d v="2024-12-30T00:00:00"/>
    <n v="487.36"/>
    <d v="2026-09-09T15:33:34"/>
    <d v="2024-12-01T00:00:00"/>
  </r>
  <r>
    <s v="CUST011"/>
    <s v="Linda Moore"/>
    <x v="4"/>
    <s v="Clothing"/>
    <n v="662.61"/>
    <n v="11"/>
    <n v="0.05"/>
    <d v="2025-01-01T00:00:00"/>
    <n v="314.74"/>
    <d v="2026-09-09T15:33:34"/>
    <d v="2025-01-01T00:00:00"/>
  </r>
  <r>
    <s v="CUST028"/>
    <s v="Lisa Davis"/>
    <x v="3"/>
    <s v="Office Supplies"/>
    <n v="309.42"/>
    <n v="1"/>
    <n v="0.2"/>
    <d v="2025-01-01T00:00:00"/>
    <n v="111.39"/>
    <d v="2026-09-09T15:33:34"/>
    <d v="2025-01-01T00:00:00"/>
  </r>
  <r>
    <s v="CUST011"/>
    <s v="Linda Wilson"/>
    <x v="3"/>
    <s v="Books"/>
    <n v="884.63"/>
    <n v="18"/>
    <n v="0.1"/>
    <d v="2025-01-02T00:00:00"/>
    <n v="318.47000000000003"/>
    <d v="2026-09-09T15:33:34"/>
    <d v="2025-01-01T00:00:00"/>
  </r>
  <r>
    <s v="CUST028"/>
    <s v="James Wilson"/>
    <x v="4"/>
    <s v="Office Supplies"/>
    <n v="745.05"/>
    <n v="10"/>
    <n v="0.1"/>
    <d v="2025-01-03T00:00:00"/>
    <n v="301.75"/>
    <d v="2026-09-09T15:33:34"/>
    <d v="2025-01-01T00:00:00"/>
  </r>
  <r>
    <s v="CUST016"/>
    <s v="James Taylor"/>
    <x v="2"/>
    <s v="Clothing"/>
    <n v="870.23"/>
    <n v="5"/>
    <n v="0.05"/>
    <d v="2025-01-03T00:00:00"/>
    <n v="413.36"/>
    <d v="2026-09-09T15:33:34"/>
    <d v="2025-01-01T00:00:00"/>
  </r>
  <r>
    <s v="CUST010"/>
    <s v="Linda Wilson"/>
    <x v="0"/>
    <s v="Furniture"/>
    <n v="862.19"/>
    <n v="18"/>
    <n v="0.05"/>
    <d v="2025-01-06T00:00:00"/>
    <n v="286.68"/>
    <d v="2026-09-09T15:33:34"/>
    <d v="2025-01-01T00:00:00"/>
  </r>
  <r>
    <s v="CUST013"/>
    <s v="Mary Wilson"/>
    <x v="3"/>
    <s v="Clothing"/>
    <n v="1171.18"/>
    <n v="19"/>
    <n v="0.05"/>
    <d v="2025-01-10T00:00:00"/>
    <n v="556.30999999999995"/>
    <d v="2026-09-09T15:33:34"/>
    <d v="2025-01-01T00:00:00"/>
  </r>
  <r>
    <s v="CUST015"/>
    <s v="Robert Anderson"/>
    <x v="2"/>
    <s v="Furniture"/>
    <n v="1054.56"/>
    <n v="11"/>
    <n v="0.1"/>
    <d v="2025-01-12T00:00:00"/>
    <n v="332.19"/>
    <d v="2026-09-09T15:33:34"/>
    <d v="2025-01-01T00:00:00"/>
  </r>
  <r>
    <s v="CUST015"/>
    <s v="James Wilson"/>
    <x v="3"/>
    <s v="Electronics"/>
    <n v="1681.21"/>
    <n v="5"/>
    <n v="0.2"/>
    <d v="2025-01-13T00:00:00"/>
    <n v="336.24"/>
    <d v="2026-09-09T15:33:34"/>
    <d v="2025-01-01T00:00:00"/>
  </r>
  <r>
    <s v="CUST015"/>
    <s v="David Thomas"/>
    <x v="0"/>
    <s v="Clothing"/>
    <n v="379.77"/>
    <n v="9"/>
    <n v="0.05"/>
    <d v="2025-01-16T00:00:00"/>
    <n v="180.39"/>
    <d v="2026-09-09T15:33:34"/>
    <d v="2025-01-01T00:00:00"/>
  </r>
  <r>
    <s v="CUST008"/>
    <s v="Lisa Thomas"/>
    <x v="4"/>
    <s v="Clothing"/>
    <n v="1076.33"/>
    <n v="2"/>
    <n v="0.1"/>
    <d v="2025-01-17T00:00:00"/>
    <n v="484.35"/>
    <d v="2026-09-09T15:33:34"/>
    <d v="2025-01-01T00:00:00"/>
  </r>
  <r>
    <s v="CUST008"/>
    <s v="Mary Davis"/>
    <x v="4"/>
    <s v="Office Supplies"/>
    <n v="1250.71"/>
    <n v="7"/>
    <n v="0"/>
    <d v="2025-01-17T00:00:00"/>
    <n v="562.82000000000005"/>
    <d v="2026-09-09T15:33:34"/>
    <d v="2025-01-01T00:00:00"/>
  </r>
  <r>
    <s v="CUST023"/>
    <s v="James Taylor"/>
    <x v="2"/>
    <s v="Clothing"/>
    <n v="1118.3399999999999"/>
    <n v="6"/>
    <n v="0.2"/>
    <d v="2025-01-17T00:00:00"/>
    <n v="447.34"/>
    <d v="2026-09-09T15:33:34"/>
    <d v="2025-01-01T00:00:00"/>
  </r>
  <r>
    <s v="CUST024"/>
    <s v="Linda Taylor"/>
    <x v="3"/>
    <s v="Clothing"/>
    <n v="1622.62"/>
    <n v="12"/>
    <n v="0.2"/>
    <d v="2025-01-20T00:00:00"/>
    <n v="649.04999999999995"/>
    <d v="2026-09-09T15:33:34"/>
    <d v="2025-01-01T00:00:00"/>
  </r>
  <r>
    <s v="CUST018"/>
    <s v="Lisa Davis"/>
    <x v="3"/>
    <s v="Books"/>
    <n v="640.64"/>
    <n v="11"/>
    <n v="0.2"/>
    <d v="2025-01-21T00:00:00"/>
    <n v="205"/>
    <d v="2026-09-09T15:33:34"/>
    <d v="2025-01-01T00:00:00"/>
  </r>
  <r>
    <s v="CUST030"/>
    <s v="Sarah Anderson"/>
    <x v="0"/>
    <s v="Clothing"/>
    <n v="585.16"/>
    <n v="17"/>
    <n v="0.1"/>
    <d v="2025-01-27T00:00:00"/>
    <n v="263.32"/>
    <d v="2026-09-09T15:33:34"/>
    <d v="2025-01-01T00:00:00"/>
  </r>
  <r>
    <s v="CUST030"/>
    <s v="Mary Davis"/>
    <x v="1"/>
    <s v="Clothing"/>
    <n v="1109.98"/>
    <n v="5"/>
    <n v="0.2"/>
    <d v="2025-02-02T00:00:00"/>
    <n v="443.99"/>
    <d v="2026-09-09T15:33:34"/>
    <d v="2025-02-01T00:00:00"/>
  </r>
  <r>
    <s v="CUST015"/>
    <s v="Lisa Thomas"/>
    <x v="1"/>
    <s v="Books"/>
    <n v="1098.08"/>
    <n v="9"/>
    <n v="0.1"/>
    <d v="2025-02-04T00:00:00"/>
    <n v="395.31"/>
    <d v="2026-09-09T15:33:34"/>
    <d v="2025-02-01T00:00:00"/>
  </r>
  <r>
    <s v="CUST002"/>
    <s v="Lisa Davis"/>
    <x v="0"/>
    <s v="Office Supplies"/>
    <n v="827.25"/>
    <n v="7"/>
    <n v="0.1"/>
    <d v="2025-02-05T00:00:00"/>
    <n v="335.04"/>
    <d v="2026-09-09T15:33:34"/>
    <d v="2025-02-01T00:00:00"/>
  </r>
  <r>
    <s v="CUST024"/>
    <s v="Linda Wilson"/>
    <x v="4"/>
    <s v="Clothing"/>
    <n v="741.88"/>
    <n v="16"/>
    <n v="0.1"/>
    <d v="2025-02-07T00:00:00"/>
    <n v="333.85"/>
    <d v="2026-09-09T15:33:34"/>
    <d v="2025-02-01T00:00:00"/>
  </r>
  <r>
    <s v="CUST004"/>
    <s v="James Davis"/>
    <x v="1"/>
    <s v="Office Supplies"/>
    <n v="1311.26"/>
    <n v="6"/>
    <n v="0.1"/>
    <d v="2025-02-10T00:00:00"/>
    <n v="531.05999999999995"/>
    <d v="2026-09-09T15:33:34"/>
    <d v="2025-02-01T00:00:00"/>
  </r>
  <r>
    <s v="CUST004"/>
    <s v="Mary Davis"/>
    <x v="2"/>
    <s v="Office Supplies"/>
    <n v="573.32000000000005"/>
    <n v="19"/>
    <n v="0.1"/>
    <d v="2025-02-15T00:00:00"/>
    <n v="232.19"/>
    <d v="2026-09-09T15:33:34"/>
    <d v="2025-02-01T00:00:00"/>
  </r>
  <r>
    <s v="CUST028"/>
    <s v="James Wilson"/>
    <x v="0"/>
    <s v="Electronics"/>
    <n v="1115.22"/>
    <n v="14"/>
    <n v="0.2"/>
    <d v="2025-02-17T00:00:00"/>
    <n v="223.04"/>
    <d v="2026-09-09T15:33:34"/>
    <d v="2025-02-01T00:00:00"/>
  </r>
  <r>
    <s v="CUST012"/>
    <s v="Lisa Thomas"/>
    <x v="3"/>
    <s v="Clothing"/>
    <n v="845.84"/>
    <n v="4"/>
    <n v="0"/>
    <d v="2025-02-19T00:00:00"/>
    <n v="422.92"/>
    <d v="2026-09-09T15:33:34"/>
    <d v="2025-02-01T00:00:00"/>
  </r>
  <r>
    <s v="CUST026"/>
    <s v="David Brown"/>
    <x v="0"/>
    <s v="Electronics"/>
    <n v="1029.8"/>
    <n v="3"/>
    <n v="0"/>
    <d v="2025-02-20T00:00:00"/>
    <n v="257.45"/>
    <d v="2026-09-09T15:33:34"/>
    <d v="2025-02-01T00:00:00"/>
  </r>
  <r>
    <s v="CUST009"/>
    <s v="Mary Davis"/>
    <x v="3"/>
    <s v="Books"/>
    <n v="1189.83"/>
    <n v="2"/>
    <n v="0.2"/>
    <d v="2025-02-21T00:00:00"/>
    <n v="380.75"/>
    <d v="2026-09-09T15:33:34"/>
    <d v="2025-02-01T00:00:00"/>
  </r>
  <r>
    <s v="CUST003"/>
    <s v="Sarah Anderson"/>
    <x v="2"/>
    <s v="Books"/>
    <n v="704.28"/>
    <n v="15"/>
    <n v="0.2"/>
    <d v="2025-02-24T00:00:00"/>
    <n v="225.37"/>
    <d v="2026-09-09T15:33:34"/>
    <d v="2025-02-01T00:00:00"/>
  </r>
  <r>
    <s v="CUST002"/>
    <s v="Mary Jackson"/>
    <x v="4"/>
    <s v="Office Supplies"/>
    <n v="1618.22"/>
    <n v="12"/>
    <n v="0.2"/>
    <d v="2025-02-24T00:00:00"/>
    <n v="582.55999999999995"/>
    <d v="2026-09-09T15:33:34"/>
    <d v="2025-02-01T00:00:00"/>
  </r>
  <r>
    <s v="CUST013"/>
    <s v="Linda Taylor"/>
    <x v="4"/>
    <s v="Books"/>
    <n v="1014.43"/>
    <n v="2"/>
    <n v="0.15"/>
    <d v="2025-02-25T00:00:00"/>
    <n v="344.91"/>
    <d v="2026-09-09T15:33:34"/>
    <d v="2025-02-01T00:00:00"/>
  </r>
  <r>
    <s v="CUST018"/>
    <s v="Mary Davis"/>
    <x v="4"/>
    <s v="Clothing"/>
    <n v="826.97"/>
    <n v="18"/>
    <n v="0.2"/>
    <d v="2025-02-27T00:00:00"/>
    <n v="330.79"/>
    <d v="2026-09-09T15:33:34"/>
    <d v="2025-02-01T00:00:00"/>
  </r>
  <r>
    <s v="CUST017"/>
    <s v="Mary Davis"/>
    <x v="4"/>
    <s v="Clothing"/>
    <n v="1022.23"/>
    <n v="8"/>
    <n v="0.1"/>
    <d v="2025-03-01T00:00:00"/>
    <n v="460"/>
    <d v="2026-09-09T15:33:34"/>
    <d v="2025-03-01T00:00:00"/>
  </r>
  <r>
    <s v="CUST004"/>
    <s v="Linda Wilson"/>
    <x v="1"/>
    <s v="Books"/>
    <n v="1099.69"/>
    <n v="6"/>
    <n v="0"/>
    <d v="2025-03-02T00:00:00"/>
    <n v="439.88"/>
    <d v="2026-09-09T15:33:34"/>
    <d v="2025-03-01T00:00:00"/>
  </r>
  <r>
    <s v="CUST028"/>
    <s v="Sarah Davis"/>
    <x v="3"/>
    <s v="Books"/>
    <n v="710.52"/>
    <n v="8"/>
    <n v="0.1"/>
    <d v="2025-03-05T00:00:00"/>
    <n v="255.79"/>
    <d v="2026-09-09T15:33:34"/>
    <d v="2025-03-01T00:00:00"/>
  </r>
  <r>
    <s v="CUST028"/>
    <s v="Mary Wilson"/>
    <x v="3"/>
    <s v="Books"/>
    <n v="499.18"/>
    <n v="15"/>
    <n v="0.2"/>
    <d v="2025-03-08T00:00:00"/>
    <n v="159.74"/>
    <d v="2026-09-09T15:33:34"/>
    <d v="2025-03-01T00:00:00"/>
  </r>
  <r>
    <s v="CUST014"/>
    <s v="Emma Davis"/>
    <x v="2"/>
    <s v="Books"/>
    <n v="1064.19"/>
    <n v="18"/>
    <n v="0.05"/>
    <d v="2025-03-09T00:00:00"/>
    <n v="404.39"/>
    <d v="2026-09-09T15:33:34"/>
    <d v="2025-03-01T00:00:00"/>
  </r>
  <r>
    <s v="CUST003"/>
    <s v="Emma Davis"/>
    <x v="1"/>
    <s v="Office Supplies"/>
    <n v="438.76"/>
    <n v="18"/>
    <n v="0.05"/>
    <d v="2025-03-10T00:00:00"/>
    <n v="187.57"/>
    <d v="2026-09-09T15:33:34"/>
    <d v="2025-03-01T00:00:00"/>
  </r>
  <r>
    <s v="CUST029"/>
    <s v="David Brown"/>
    <x v="0"/>
    <s v="Clothing"/>
    <n v="864.98"/>
    <n v="2"/>
    <n v="0.05"/>
    <d v="2025-03-11T00:00:00"/>
    <n v="410.87"/>
    <d v="2026-09-09T15:33:34"/>
    <d v="2025-03-01T00:00:00"/>
  </r>
  <r>
    <s v="CUST021"/>
    <s v="David Brown"/>
    <x v="0"/>
    <s v="Furniture"/>
    <n v="984.93"/>
    <n v="14"/>
    <n v="0.2"/>
    <d v="2025-03-17T00:00:00"/>
    <n v="275.77999999999997"/>
    <d v="2026-09-09T15:33:34"/>
    <d v="2025-03-01T00:00:00"/>
  </r>
  <r>
    <s v="CUST007"/>
    <s v="David Brown"/>
    <x v="0"/>
    <s v="Clothing"/>
    <n v="1493.49"/>
    <n v="18"/>
    <n v="0"/>
    <d v="2025-03-18T00:00:00"/>
    <n v="746.74"/>
    <d v="2026-09-09T15:33:34"/>
    <d v="2025-03-01T00:00:00"/>
  </r>
  <r>
    <s v="CUST009"/>
    <s v="Linda Taylor"/>
    <x v="2"/>
    <s v="Clothing"/>
    <n v="689.43"/>
    <n v="9"/>
    <n v="0.1"/>
    <d v="2025-03-20T00:00:00"/>
    <n v="310.24"/>
    <d v="2026-09-09T15:33:34"/>
    <d v="2025-03-01T00:00:00"/>
  </r>
  <r>
    <s v="CUST023"/>
    <s v="Mary Wilson"/>
    <x v="2"/>
    <s v="Clothing"/>
    <n v="682.24"/>
    <n v="1"/>
    <n v="0"/>
    <d v="2025-03-22T00:00:00"/>
    <n v="341.12"/>
    <d v="2026-09-09T15:33:34"/>
    <d v="2025-03-01T00:00:00"/>
  </r>
  <r>
    <s v="CUST029"/>
    <s v="Michael Anderson"/>
    <x v="3"/>
    <s v="Electronics"/>
    <n v="458.54"/>
    <n v="15"/>
    <n v="0.2"/>
    <d v="2025-03-25T00:00:00"/>
    <n v="91.71"/>
    <d v="2026-09-09T15:33:34"/>
    <d v="2025-03-01T00:00:00"/>
  </r>
  <r>
    <s v="CUST009"/>
    <s v="Michael Anderson"/>
    <x v="2"/>
    <s v="Furniture"/>
    <n v="1184.25"/>
    <n v="11"/>
    <n v="0.2"/>
    <d v="2025-03-26T00:00:00"/>
    <n v="331.59"/>
    <d v="2026-09-09T15:33:34"/>
    <d v="2025-03-01T00:00:00"/>
  </r>
  <r>
    <s v="CUST007"/>
    <s v="James Davis"/>
    <x v="2"/>
    <s v="Clothing"/>
    <n v="762.14"/>
    <n v="9"/>
    <n v="0"/>
    <d v="2025-03-27T00:00:00"/>
    <n v="381.07"/>
    <d v="2026-09-09T15:33:34"/>
    <d v="2025-03-01T00:00:00"/>
  </r>
  <r>
    <s v="CUST030"/>
    <s v="Linda Taylor"/>
    <x v="3"/>
    <s v="Books"/>
    <n v="750.71"/>
    <n v="10"/>
    <n v="0.15"/>
    <d v="2025-03-27T00:00:00"/>
    <n v="255.24"/>
    <d v="2026-09-09T15:33:34"/>
    <d v="2025-03-01T00:00:00"/>
  </r>
  <r>
    <s v="CUST018"/>
    <s v="David Anderson"/>
    <x v="4"/>
    <s v="Clothing"/>
    <n v="1456.94"/>
    <n v="14"/>
    <n v="0.05"/>
    <d v="2025-03-29T00:00:00"/>
    <n v="692.05"/>
    <d v="2026-09-09T15:33:34"/>
    <d v="2025-03-01T00:00:00"/>
  </r>
  <r>
    <s v="CUST008"/>
    <s v="Emma Wilson"/>
    <x v="1"/>
    <s v="Furniture"/>
    <n v="1093.3800000000001"/>
    <n v="17"/>
    <n v="0.1"/>
    <d v="2025-03-29T00:00:00"/>
    <n v="344.41"/>
    <d v="2026-09-09T15:33:34"/>
    <d v="2025-03-01T00:00:00"/>
  </r>
  <r>
    <s v="CUST014"/>
    <s v="Sarah Anderson"/>
    <x v="0"/>
    <s v="Clothing"/>
    <n v="934.27"/>
    <n v="8"/>
    <n v="0.15"/>
    <d v="2025-03-30T00:00:00"/>
    <n v="397.06"/>
    <d v="2026-09-09T15:33:34"/>
    <d v="2025-03-01T00:00:00"/>
  </r>
  <r>
    <s v="CUST024"/>
    <s v="David Thomas"/>
    <x v="4"/>
    <s v="Clothing"/>
    <n v="1465.35"/>
    <n v="8"/>
    <n v="0.2"/>
    <d v="2025-03-30T00:00:00"/>
    <n v="586.14"/>
    <d v="2026-09-09T15:33:34"/>
    <d v="2025-03-01T00:00:00"/>
  </r>
  <r>
    <s v="CUST028"/>
    <s v="Robert Anderson"/>
    <x v="2"/>
    <s v="Office Supplies"/>
    <n v="740.8"/>
    <n v="3"/>
    <n v="0"/>
    <d v="2025-04-02T00:00:00"/>
    <n v="333.36"/>
    <d v="2026-09-09T15:33:34"/>
    <d v="2025-04-01T00:00:00"/>
  </r>
  <r>
    <s v="CUST015"/>
    <s v="Sarah Anderson"/>
    <x v="0"/>
    <s v="Office Supplies"/>
    <n v="545.44000000000005"/>
    <n v="17"/>
    <n v="0"/>
    <d v="2025-04-05T00:00:00"/>
    <n v="245.45"/>
    <d v="2026-09-09T15:33:34"/>
    <d v="2025-04-01T00:00:00"/>
  </r>
  <r>
    <s v="CUST010"/>
    <s v="David Thomas"/>
    <x v="1"/>
    <s v="Books"/>
    <n v="997.61"/>
    <n v="8"/>
    <n v="0.05"/>
    <d v="2025-04-05T00:00:00"/>
    <n v="379.09"/>
    <d v="2026-09-09T15:33:34"/>
    <d v="2025-04-01T00:00:00"/>
  </r>
  <r>
    <s v="CUST016"/>
    <s v="David Thomas"/>
    <x v="2"/>
    <s v="Clothing"/>
    <n v="928.32"/>
    <n v="2"/>
    <n v="0.05"/>
    <d v="2025-04-07T00:00:00"/>
    <n v="440.95"/>
    <d v="2026-09-09T15:33:34"/>
    <d v="2025-04-01T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s v="CUST004"/>
    <x v="0"/>
    <n v="5465.71"/>
    <n v="1937.8500000000001"/>
    <n v="6"/>
    <x v="0"/>
    <x v="0"/>
  </r>
  <r>
    <s v="CUST021"/>
    <x v="1"/>
    <n v="11915.829999999998"/>
    <n v="4061.91"/>
    <n v="13"/>
    <x v="1"/>
    <x v="1"/>
  </r>
  <r>
    <s v="CUST015"/>
    <x v="2"/>
    <n v="3819.1400000000003"/>
    <n v="1273.1899999999998"/>
    <n v="4"/>
    <x v="2"/>
    <x v="0"/>
  </r>
  <r>
    <s v="CUST014"/>
    <x v="3"/>
    <n v="1672.88"/>
    <n v="569.64"/>
    <n v="2"/>
    <x v="3"/>
    <x v="0"/>
  </r>
  <r>
    <s v="CUST009"/>
    <x v="4"/>
    <n v="7020.3799999999992"/>
    <n v="2919.45"/>
    <n v="7"/>
    <x v="4"/>
    <x v="0"/>
  </r>
  <r>
    <s v="CUST010"/>
    <x v="5"/>
    <n v="11398.32"/>
    <n v="3846.93"/>
    <n v="12"/>
    <x v="5"/>
    <x v="1"/>
  </r>
  <r>
    <s v="CUST020"/>
    <x v="6"/>
    <n v="5014.96"/>
    <n v="1909.5700000000002"/>
    <n v="5"/>
    <x v="6"/>
    <x v="0"/>
  </r>
  <r>
    <s v="CUST011"/>
    <x v="7"/>
    <n v="8543.9699999999993"/>
    <n v="2718.8399999999997"/>
    <n v="8"/>
    <x v="7"/>
    <x v="1"/>
  </r>
  <r>
    <s v="CUST019"/>
    <x v="8"/>
    <n v="6255.7"/>
    <n v="2122.8200000000002"/>
    <n v="6"/>
    <x v="8"/>
    <x v="0"/>
  </r>
  <r>
    <s v="CUST017"/>
    <x v="9"/>
    <n v="5615.2800000000007"/>
    <n v="2203.6800000000003"/>
    <n v="6"/>
    <x v="9"/>
    <x v="0"/>
  </r>
  <r>
    <s v="CUST005"/>
    <x v="10"/>
    <n v="20774.739999999998"/>
    <n v="7077.9199999999992"/>
    <n v="20"/>
    <x v="10"/>
    <x v="1"/>
  </r>
  <r>
    <s v="CUST028"/>
    <x v="11"/>
    <n v="1450.99"/>
    <n v="410.91999999999996"/>
    <n v="2"/>
    <x v="11"/>
    <x v="0"/>
  </r>
  <r>
    <s v="CUST022"/>
    <x v="12"/>
    <n v="5801.29"/>
    <n v="1885.71"/>
    <n v="5"/>
    <x v="12"/>
    <x v="0"/>
  </r>
  <r>
    <s v="CUST002"/>
    <x v="13"/>
    <n v="856.7"/>
    <n v="214.18"/>
    <n v="1"/>
    <x v="13"/>
    <x v="0"/>
  </r>
  <r>
    <s v="CUST026"/>
    <x v="14"/>
    <n v="3968.59"/>
    <n v="1386.78"/>
    <n v="4"/>
    <x v="14"/>
    <x v="0"/>
  </r>
  <r>
    <s v="CUST024"/>
    <x v="15"/>
    <n v="2304.9"/>
    <n v="1020.72"/>
    <n v="3"/>
    <x v="15"/>
    <x v="0"/>
  </r>
  <r>
    <s v="CUST025"/>
    <x v="16"/>
    <n v="7522.77"/>
    <n v="2912.54"/>
    <n v="7"/>
    <x v="16"/>
    <x v="0"/>
  </r>
  <r>
    <s v="CUST007"/>
    <x v="17"/>
    <n v="9970.1999999999989"/>
    <n v="3241.1099999999997"/>
    <n v="9"/>
    <x v="17"/>
    <x v="1"/>
  </r>
  <r>
    <s v="CUST006"/>
    <x v="18"/>
    <n v="8090.12"/>
    <n v="2918.14"/>
    <n v="9"/>
    <x v="18"/>
    <x v="1"/>
  </r>
  <r>
    <s v="CUST029"/>
    <x v="19"/>
    <n v="8635.9500000000007"/>
    <n v="3074.45"/>
    <n v="10"/>
    <x v="19"/>
    <x v="1"/>
  </r>
  <r>
    <s v="CUST001"/>
    <x v="20"/>
    <n v="17143.289999999997"/>
    <n v="6553.7899999999991"/>
    <n v="17"/>
    <x v="20"/>
    <x v="1"/>
  </r>
  <r>
    <s v="CUST008"/>
    <x v="21"/>
    <n v="7251.18"/>
    <n v="2339.64"/>
    <n v="6"/>
    <x v="21"/>
    <x v="0"/>
  </r>
  <r>
    <s v="CUST016"/>
    <x v="22"/>
    <n v="5443.34"/>
    <n v="2285.64"/>
    <n v="6"/>
    <x v="22"/>
    <x v="0"/>
  </r>
  <r>
    <s v="CUST030"/>
    <x v="23"/>
    <n v="7881.9"/>
    <n v="2535.5100000000002"/>
    <n v="8"/>
    <x v="23"/>
    <x v="1"/>
  </r>
  <r>
    <s v="CUST012"/>
    <x v="24"/>
    <n v="8331.8499999999985"/>
    <n v="2765.53"/>
    <n v="10"/>
    <x v="24"/>
    <x v="1"/>
  </r>
  <r>
    <s v="CUST023"/>
    <x v="25"/>
    <n v="7296.1900000000005"/>
    <n v="2060.81"/>
    <n v="8"/>
    <x v="25"/>
    <x v="0"/>
  </r>
  <r>
    <s v="CUST003"/>
    <x v="26"/>
    <n v="5771.59"/>
    <n v="2039.74"/>
    <n v="6"/>
    <x v="2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2DB03-1EB5-4B83-84D9-0C16BFD021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0:H17" firstHeaderRow="1" firstDataRow="2" firstDataCol="1"/>
  <pivotFields count="11">
    <pivotField showAll="0"/>
    <pivotField showAll="0"/>
    <pivotField axis="axisCol"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4" showAll="0"/>
    <pivotField showAll="0"/>
    <pivotField numFmtId="165" showAll="0"/>
    <pivotField numFmtId="17" showAll="0"/>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Sales" fld="4" baseField="0" baseItem="0"/>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BD7871-58BE-4FC5-B3A2-191EB62F24D9}" name="PivotTable10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2:E18" firstHeaderRow="1" firstDataRow="1" firstDataCol="1"/>
  <pivotFields count="11">
    <pivotField showAll="0"/>
    <pivotField showAll="0"/>
    <pivotField axis="axisRow" showAll="0">
      <items count="6">
        <item x="4"/>
        <item x="1"/>
        <item x="3"/>
        <item x="2"/>
        <item x="0"/>
        <item t="default"/>
      </items>
    </pivotField>
    <pivotField showAll="0"/>
    <pivotField dataField="1" showAll="0"/>
    <pivotField showAll="0"/>
    <pivotField showAll="0"/>
    <pivotField numFmtId="14" showAll="0"/>
    <pivotField showAll="0"/>
    <pivotField numFmtId="165" showAll="0"/>
    <pivotField numFmtId="17" showAll="0"/>
  </pivotFields>
  <rowFields count="1">
    <field x="2"/>
  </rowFields>
  <rowItems count="6">
    <i>
      <x/>
    </i>
    <i>
      <x v="1"/>
    </i>
    <i>
      <x v="2"/>
    </i>
    <i>
      <x v="3"/>
    </i>
    <i>
      <x v="4"/>
    </i>
    <i t="grand">
      <x/>
    </i>
  </rowItems>
  <colItems count="1">
    <i/>
  </colItems>
  <dataFields count="1">
    <dataField name="Sum of Sales" fld="4"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C4B4A9-ACCF-4C7D-AC9A-45BB6A8361B1}" name="PivotTable10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B23" firstHeaderRow="1" firstDataRow="1" firstDataCol="1"/>
  <pivotFields count="7">
    <pivotField showAll="0"/>
    <pivotField axis="axisRow" showAll="0">
      <items count="28">
        <item sd="0"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showAll="0"/>
    <pivotField dataField="1" showAll="0">
      <items count="28">
        <item x="10"/>
        <item x="20"/>
        <item x="1"/>
        <item x="5"/>
        <item x="17"/>
        <item x="19"/>
        <item x="7"/>
        <item x="24"/>
        <item x="18"/>
        <item x="23"/>
        <item x="16"/>
        <item x="25"/>
        <item x="21"/>
        <item x="4"/>
        <item x="8"/>
        <item x="12"/>
        <item x="26"/>
        <item x="9"/>
        <item x="0"/>
        <item x="22"/>
        <item x="6"/>
        <item x="14"/>
        <item x="2"/>
        <item x="15"/>
        <item x="3"/>
        <item x="11"/>
        <item x="13"/>
        <item t="default"/>
      </items>
    </pivotField>
    <pivotField showAll="0">
      <items count="3">
        <item h="1" x="0"/>
        <item x="1"/>
        <item t="default"/>
      </items>
    </pivotField>
  </pivotFields>
  <rowFields count="1">
    <field x="1"/>
  </rowFields>
  <rowItems count="11">
    <i>
      <x v="1"/>
    </i>
    <i>
      <x v="5"/>
    </i>
    <i>
      <x v="7"/>
    </i>
    <i>
      <x v="10"/>
    </i>
    <i>
      <x v="17"/>
    </i>
    <i>
      <x v="18"/>
    </i>
    <i>
      <x v="19"/>
    </i>
    <i>
      <x v="20"/>
    </i>
    <i>
      <x v="23"/>
    </i>
    <i>
      <x v="24"/>
    </i>
    <i t="grand">
      <x/>
    </i>
  </rowItems>
  <colItems count="1">
    <i/>
  </colItems>
  <dataFields count="1">
    <dataField name="Sum of Rank" fld="5"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5ACAB9-E4A1-4C75-8EAB-67ED0733231F}" name="PivotTable4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D3:E8" firstHeaderRow="1" firstDataRow="1" firstDataCol="1"/>
  <pivotFields count="1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4"/>
        <item x="1"/>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7" outline="0" showAll="0" defaultSubtota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EE703B-7425-4C7A-BF3D-F6E2B708364E}" name="PivotTable3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B8" firstHeaderRow="1" firstDataRow="1" firstDataCol="1"/>
  <pivotFields count="1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7" outline="0" showAll="0" defaultSubtotal="0">
      <extLst>
        <ext xmlns:x14="http://schemas.microsoft.com/office/spreadsheetml/2009/9/main" uri="{2946ED86-A175-432a-8AC1-64E0C546D7DE}">
          <x14:pivotField fillDownLabels="1"/>
        </ext>
      </extLst>
    </pivotField>
  </pivotFields>
  <rowFields count="1">
    <field x="3"/>
  </rowFields>
  <rowItems count="5">
    <i>
      <x/>
    </i>
    <i>
      <x v="1"/>
    </i>
    <i>
      <x v="2"/>
    </i>
    <i>
      <x v="3"/>
    </i>
    <i>
      <x v="4"/>
    </i>
  </rowItems>
  <colItems count="1">
    <i/>
  </colItems>
  <dataFields count="1">
    <dataField name="Sum of Profi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7F1A6DB-0E17-451B-B416-0CA4CFEF15E5}" sourceName="Product_Category">
  <pivotTables>
    <pivotTable tabId="17" name="PivotTable32"/>
  </pivotTables>
  <data>
    <tabular pivotCacheId="818210990">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1F8A3A-2582-455D-B512-A462EBB37653}" sourceName="Region">
  <pivotTables>
    <pivotTable tabId="17" name="PivotTable48"/>
  </pivotTables>
  <data>
    <tabular pivotCacheId="2024338506">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10?" xr10:uid="{476BEADB-4D57-49B2-B724-2BFC735590B5}" sourceName="Top 10?">
  <pivotTables>
    <pivotTable tabId="17" name="PivotTable104"/>
  </pivotTables>
  <data>
    <tabular pivotCacheId="621463960">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6AE7274-5FD0-463B-B99B-A08F4FDEDFD7}" sourceName="Region">
  <pivotTables>
    <pivotTable tabId="17" name="PivotTable108"/>
  </pivotTables>
  <data>
    <tabular pivotCacheId="2024338506">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96D6E87A-97CF-4356-AF1F-6F0528B21F3B}" cache="Slicer_Product_Category" caption="Product_Category" columnCount="5" rowHeight="247650"/>
  <slicer name="Region" xr10:uid="{B74A6B19-BC8D-44D6-8EBE-2E381572ABDD}" cache="Slicer_Region" caption="Region" columnCount="5" rowHeight="247650"/>
  <slicer name="Top 10?" xr10:uid="{9FF4EC3D-B6EF-484E-8E75-C96A0094116C}" cache="Slicer_Top_10?" caption="Top 10?" startItem="1" rowHeight="247650"/>
  <slicer name="Region 1" xr10:uid="{FD96713F-1C9C-4ED3-9A2D-61382A05F246}" cache="Slicer_Region1" caption="Region" columnCoun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236650-211A-4A6B-890F-3F2C05FD4FE6}" name="Table1" displayName="Table1" ref="A1:K201" totalsRowShown="0" headerRowDxfId="28" dataDxfId="26" headerRowBorderDxfId="27" tableBorderDxfId="25" totalsRowBorderDxfId="24">
  <autoFilter ref="A1:K201" xr:uid="{EE236650-211A-4A6B-890F-3F2C05FD4FE6}"/>
  <tableColumns count="11">
    <tableColumn id="1" xr3:uid="{A2C62C60-7178-4AD7-AEE1-5B8855169EEA}" name="Customer_ID" dataDxfId="23"/>
    <tableColumn id="2" xr3:uid="{C18DB9AD-740A-4E41-8DE7-6F27E921BC32}" name="Customer_Name" dataDxfId="22"/>
    <tableColumn id="3" xr3:uid="{C019B593-1646-4738-A02C-7F29D8BE12D3}" name="Region" dataDxfId="21"/>
    <tableColumn id="4" xr3:uid="{68032E86-D9A8-4BAB-BE13-FA6A8153C965}" name="Product_Category" dataDxfId="20"/>
    <tableColumn id="5" xr3:uid="{F86C3E0F-E9E3-48FD-8307-757FB3A73BF6}" name="Sales" dataDxfId="19"/>
    <tableColumn id="6" xr3:uid="{63E556E2-4059-4D2A-BB5F-946B88D3149E}" name="Quantity" dataDxfId="18"/>
    <tableColumn id="7" xr3:uid="{E2544346-8903-4F82-8D3A-37891836E0F2}" name="Discount" dataDxfId="17"/>
    <tableColumn id="8" xr3:uid="{9DCCAFF5-271D-4A7E-A5D1-C83B018FD653}" name="Order_Date" dataDxfId="16"/>
    <tableColumn id="9" xr3:uid="{15478813-DBB2-4BA0-9010-706D645BEBEA}" name="Profit" dataDxfId="15"/>
    <tableColumn id="10" xr3:uid="{CDB201D2-D18A-48C4-9613-D369A34C8E31}" name="Timestamp" dataDxfId="14">
      <calculatedColumnFormula>NOW()</calculatedColumnFormula>
    </tableColumn>
    <tableColumn id="11" xr3:uid="{2948470F-3CA9-4A54-8D10-FFAAEF242C9B}" name="Order Month" dataDxfId="13">
      <calculatedColumnFormula>DATE(YEAR(H2),MONTH(H2),1)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57C38D-F1BC-4BC5-8D07-190A885B5453}" name="Table2" displayName="Table2" ref="A1:G28" totalsRowShown="0" headerRowDxfId="12" headerRowBorderDxfId="11" tableBorderDxfId="10" totalsRowBorderDxfId="9">
  <autoFilter ref="A1:G28" xr:uid="{CF57C38D-F1BC-4BC5-8D07-190A885B5453}"/>
  <sortState xmlns:xlrd2="http://schemas.microsoft.com/office/spreadsheetml/2017/richdata2" ref="A2:G28">
    <sortCondition ref="B1:B28"/>
  </sortState>
  <tableColumns count="7">
    <tableColumn id="1" xr3:uid="{BDA5CF61-F6D5-4565-BC6D-AC0761F61573}" name="CustorID" dataDxfId="8"/>
    <tableColumn id="2" xr3:uid="{FFC3F444-E4F7-4CCD-BBCF-F83093CC9670}" name="CustomerName" dataDxfId="7"/>
    <tableColumn id="3" xr3:uid="{C31D0A7C-774C-41A4-BA8E-3827C9F25B3D}" name="Total Purchase (Sales)" dataDxfId="6">
      <calculatedColumnFormula>SUMIF(data!$B$2:$B$201, B2,data!$E$2:$E$201)</calculatedColumnFormula>
    </tableColumn>
    <tableColumn id="4" xr3:uid="{8B033CEE-0523-4117-9726-D94186739DD1}" name="Total Profit" dataDxfId="5">
      <calculatedColumnFormula>SUMIF(data!$B$2:$B$201,B2,data!$I$2:$I$201)</calculatedColumnFormula>
    </tableColumn>
    <tableColumn id="5" xr3:uid="{1DC806F5-0823-4413-B457-D940C984F3E4}" name="Order Count" dataDxfId="4">
      <calculatedColumnFormula>COUNTIF(data!$B$2:$B$201,B2)</calculatedColumnFormula>
    </tableColumn>
    <tableColumn id="6" xr3:uid="{A76070E7-5410-4243-B37A-65EE39E9CE58}" name="Rank" dataDxfId="3">
      <calculatedColumnFormula>RANK(C2,$C$2:$C$28)</calculatedColumnFormula>
    </tableColumn>
    <tableColumn id="7" xr3:uid="{F50C153A-516A-4DF8-BE16-854912DA9030}" name="Top 10?" dataDxfId="2">
      <calculatedColumnFormula>IF(F2&lt;=10,"Yes","No")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8F829-EA9D-43B0-B069-3A12DCD4E0F4}">
  <dimension ref="AI3:AK74"/>
  <sheetViews>
    <sheetView showGridLines="0" topLeftCell="A39" zoomScale="39" zoomScaleNormal="25" workbookViewId="0">
      <selection activeCell="AO52" sqref="A1:XFD1048576"/>
    </sheetView>
  </sheetViews>
  <sheetFormatPr defaultRowHeight="14.4" x14ac:dyDescent="0.3"/>
  <cols>
    <col min="1" max="1" width="7.33203125" style="52" customWidth="1"/>
    <col min="2" max="3" width="8.88671875" style="52"/>
    <col min="4" max="4" width="9" style="52" customWidth="1"/>
    <col min="5" max="12" width="8.88671875" style="52"/>
    <col min="13" max="13" width="10.77734375" style="52" customWidth="1"/>
    <col min="14" max="14" width="8.88671875" style="52"/>
    <col min="15" max="15" width="9.6640625" style="52" customWidth="1"/>
    <col min="16" max="16" width="8.88671875" style="52"/>
    <col min="17" max="17" width="15.5546875" style="52" customWidth="1"/>
    <col min="18" max="18" width="8.88671875" style="52"/>
    <col min="19" max="19" width="12.109375" style="52" customWidth="1"/>
    <col min="20" max="20" width="13.6640625" style="52" customWidth="1"/>
    <col min="21" max="21" width="15.5546875" style="52" customWidth="1"/>
    <col min="22" max="33" width="8.88671875" style="52"/>
    <col min="34" max="34" width="8.33203125" style="52" customWidth="1"/>
    <col min="35" max="37" width="8.88671875" style="52" hidden="1" customWidth="1"/>
    <col min="38" max="39" width="8.88671875" style="52"/>
    <col min="40" max="40" width="37.77734375" style="52" customWidth="1"/>
    <col min="41" max="16384" width="8.88671875" style="52"/>
  </cols>
  <sheetData>
    <row r="3" ht="14.4" customHeight="1" x14ac:dyDescent="0.3"/>
    <row r="4" ht="14.4" customHeight="1" x14ac:dyDescent="0.3"/>
    <row r="5" ht="14.4" customHeight="1" x14ac:dyDescent="0.3"/>
    <row r="6" ht="22.8" customHeight="1" x14ac:dyDescent="0.3"/>
    <row r="7" ht="14.4" customHeight="1" x14ac:dyDescent="0.3"/>
    <row r="9" ht="12" customHeight="1" x14ac:dyDescent="0.3"/>
    <row r="10" ht="14.4" hidden="1" customHeight="1" x14ac:dyDescent="0.3"/>
    <row r="11" ht="14.4" hidden="1" customHeight="1" x14ac:dyDescent="0.3"/>
    <row r="12" ht="29.4" customHeight="1" x14ac:dyDescent="0.3"/>
    <row r="13" ht="45" customHeight="1" x14ac:dyDescent="0.3"/>
    <row r="36" ht="17.399999999999999" customHeight="1" x14ac:dyDescent="0.3"/>
    <row r="61" ht="14.4" customHeight="1" x14ac:dyDescent="0.3"/>
    <row r="62" ht="16.8" customHeight="1" x14ac:dyDescent="0.3"/>
    <row r="63" ht="14.4" customHeight="1" x14ac:dyDescent="0.3"/>
    <row r="64" ht="58.2" customHeight="1" x14ac:dyDescent="0.3"/>
    <row r="65" ht="62.4" customHeight="1" x14ac:dyDescent="0.3"/>
    <row r="66" ht="51.6" customHeight="1" x14ac:dyDescent="0.3"/>
    <row r="67" ht="14.4" customHeight="1" x14ac:dyDescent="0.3"/>
    <row r="68" ht="47.4" customHeight="1" x14ac:dyDescent="0.3"/>
    <row r="69" ht="14.4" customHeight="1" x14ac:dyDescent="0.3"/>
    <row r="70" ht="45" customHeight="1" x14ac:dyDescent="0.3"/>
    <row r="74" ht="40.799999999999997"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C5AB5-D8D8-4C96-866F-1B94CCE6B060}">
  <dimension ref="A1:N203"/>
  <sheetViews>
    <sheetView workbookViewId="0">
      <selection activeCell="L194" sqref="L194"/>
    </sheetView>
  </sheetViews>
  <sheetFormatPr defaultRowHeight="14.4" x14ac:dyDescent="0.3"/>
  <cols>
    <col min="1" max="1" width="14.109375" bestFit="1" customWidth="1"/>
    <col min="2" max="2" width="17.44140625" bestFit="1" customWidth="1"/>
    <col min="3" max="3" width="9" bestFit="1" customWidth="1"/>
    <col min="4" max="4" width="18.109375" customWidth="1"/>
    <col min="5" max="5" width="8" bestFit="1" customWidth="1"/>
    <col min="6" max="7" width="10.5546875" bestFit="1" customWidth="1"/>
    <col min="8" max="8" width="12.88671875" bestFit="1" customWidth="1"/>
    <col min="10" max="10" width="18.6640625" style="15" bestFit="1" customWidth="1"/>
    <col min="11" max="11" width="14.21875" bestFit="1" customWidth="1"/>
    <col min="15" max="15" width="15.44140625" bestFit="1" customWidth="1"/>
  </cols>
  <sheetData>
    <row r="1" spans="1:11" ht="21.6" customHeight="1" thickBot="1" x14ac:dyDescent="0.35">
      <c r="A1" s="10" t="s">
        <v>75</v>
      </c>
      <c r="B1" s="11" t="s">
        <v>0</v>
      </c>
      <c r="C1" s="11" t="s">
        <v>1</v>
      </c>
      <c r="D1" s="11" t="s">
        <v>2</v>
      </c>
      <c r="E1" s="11" t="s">
        <v>3</v>
      </c>
      <c r="F1" s="11" t="s">
        <v>4</v>
      </c>
      <c r="G1" s="11" t="s">
        <v>5</v>
      </c>
      <c r="H1" s="11" t="s">
        <v>6</v>
      </c>
      <c r="I1" s="12" t="s">
        <v>7</v>
      </c>
      <c r="J1" s="13" t="s">
        <v>76</v>
      </c>
      <c r="K1" s="11" t="s">
        <v>77</v>
      </c>
    </row>
    <row r="2" spans="1:11" ht="15" thickBot="1" x14ac:dyDescent="0.35">
      <c r="A2" s="1" t="s">
        <v>8</v>
      </c>
      <c r="B2" s="2" t="s">
        <v>9</v>
      </c>
      <c r="C2" s="2" t="s">
        <v>10</v>
      </c>
      <c r="D2" s="2" t="s">
        <v>11</v>
      </c>
      <c r="E2" s="2">
        <v>1036.0899999999999</v>
      </c>
      <c r="F2" s="2">
        <v>4</v>
      </c>
      <c r="G2" s="2">
        <v>0.2</v>
      </c>
      <c r="H2" s="3">
        <v>45392</v>
      </c>
      <c r="I2" s="4">
        <v>331.55</v>
      </c>
      <c r="J2" s="14">
        <f t="shared" ref="J2:J65" ca="1" si="0">NOW()</f>
        <v>46275.421734837961</v>
      </c>
      <c r="K2" s="9">
        <f t="shared" ref="K2:K65" si="1">DATE(YEAR(H2),MONTH(H2),1)</f>
        <v>45383</v>
      </c>
    </row>
    <row r="3" spans="1:11" ht="15" thickBot="1" x14ac:dyDescent="0.35">
      <c r="A3" s="1" t="s">
        <v>12</v>
      </c>
      <c r="B3" s="2" t="s">
        <v>13</v>
      </c>
      <c r="C3" s="2" t="s">
        <v>10</v>
      </c>
      <c r="D3" s="2" t="s">
        <v>14</v>
      </c>
      <c r="E3" s="2">
        <v>1101.28</v>
      </c>
      <c r="F3" s="2">
        <v>3</v>
      </c>
      <c r="G3" s="2">
        <v>0.2</v>
      </c>
      <c r="H3" s="3">
        <v>45393</v>
      </c>
      <c r="I3" s="4">
        <v>440.51</v>
      </c>
      <c r="J3" s="14">
        <f t="shared" ca="1" si="0"/>
        <v>46275.421734837961</v>
      </c>
      <c r="K3" s="9">
        <f t="shared" si="1"/>
        <v>45383</v>
      </c>
    </row>
    <row r="4" spans="1:11" ht="15" thickBot="1" x14ac:dyDescent="0.35">
      <c r="A4" s="1" t="s">
        <v>15</v>
      </c>
      <c r="B4" s="2" t="s">
        <v>16</v>
      </c>
      <c r="C4" s="2" t="s">
        <v>17</v>
      </c>
      <c r="D4" s="2" t="s">
        <v>11</v>
      </c>
      <c r="E4" s="2">
        <v>713.34</v>
      </c>
      <c r="F4" s="2">
        <v>17</v>
      </c>
      <c r="G4" s="2">
        <v>0</v>
      </c>
      <c r="H4" s="3">
        <v>45396</v>
      </c>
      <c r="I4" s="4">
        <v>285.33999999999997</v>
      </c>
      <c r="J4" s="14">
        <f t="shared" ca="1" si="0"/>
        <v>46275.421734837961</v>
      </c>
      <c r="K4" s="9">
        <f t="shared" si="1"/>
        <v>45383</v>
      </c>
    </row>
    <row r="5" spans="1:11" ht="15" thickBot="1" x14ac:dyDescent="0.35">
      <c r="A5" s="1" t="s">
        <v>18</v>
      </c>
      <c r="B5" s="2" t="s">
        <v>13</v>
      </c>
      <c r="C5" s="2" t="s">
        <v>19</v>
      </c>
      <c r="D5" s="2" t="s">
        <v>20</v>
      </c>
      <c r="E5" s="2">
        <v>760.93</v>
      </c>
      <c r="F5" s="2">
        <v>4</v>
      </c>
      <c r="G5" s="2">
        <v>0.15</v>
      </c>
      <c r="H5" s="3">
        <v>45396</v>
      </c>
      <c r="I5" s="4">
        <v>161.69999999999999</v>
      </c>
      <c r="J5" s="14">
        <f t="shared" ca="1" si="0"/>
        <v>46275.421734837961</v>
      </c>
      <c r="K5" s="9">
        <f t="shared" si="1"/>
        <v>45383</v>
      </c>
    </row>
    <row r="6" spans="1:11" ht="15" thickBot="1" x14ac:dyDescent="0.35">
      <c r="A6" s="1" t="s">
        <v>21</v>
      </c>
      <c r="B6" s="2" t="s">
        <v>22</v>
      </c>
      <c r="C6" s="2" t="s">
        <v>23</v>
      </c>
      <c r="D6" s="2" t="s">
        <v>11</v>
      </c>
      <c r="E6" s="2">
        <v>847</v>
      </c>
      <c r="F6" s="2">
        <v>12</v>
      </c>
      <c r="G6" s="2">
        <v>0.2</v>
      </c>
      <c r="H6" s="3">
        <v>45397</v>
      </c>
      <c r="I6" s="4">
        <v>271.04000000000002</v>
      </c>
      <c r="J6" s="14">
        <f t="shared" ca="1" si="0"/>
        <v>46275.421734837961</v>
      </c>
      <c r="K6" s="9">
        <f t="shared" si="1"/>
        <v>45383</v>
      </c>
    </row>
    <row r="7" spans="1:11" ht="15" thickBot="1" x14ac:dyDescent="0.35">
      <c r="A7" s="1" t="s">
        <v>24</v>
      </c>
      <c r="B7" s="2" t="s">
        <v>25</v>
      </c>
      <c r="C7" s="2" t="s">
        <v>23</v>
      </c>
      <c r="D7" s="2" t="s">
        <v>26</v>
      </c>
      <c r="E7" s="2">
        <v>965.64</v>
      </c>
      <c r="F7" s="2">
        <v>8</v>
      </c>
      <c r="G7" s="2">
        <v>0.1</v>
      </c>
      <c r="H7" s="3">
        <v>45398</v>
      </c>
      <c r="I7" s="4">
        <v>304.18</v>
      </c>
      <c r="J7" s="14">
        <f t="shared" ca="1" si="0"/>
        <v>46275.421734837961</v>
      </c>
      <c r="K7" s="9">
        <f t="shared" si="1"/>
        <v>45383</v>
      </c>
    </row>
    <row r="8" spans="1:11" ht="15" thickBot="1" x14ac:dyDescent="0.35">
      <c r="A8" s="1" t="s">
        <v>27</v>
      </c>
      <c r="B8" s="2" t="s">
        <v>28</v>
      </c>
      <c r="C8" s="2" t="s">
        <v>10</v>
      </c>
      <c r="D8" s="2" t="s">
        <v>20</v>
      </c>
      <c r="E8" s="2">
        <v>1317.53</v>
      </c>
      <c r="F8" s="2">
        <v>12</v>
      </c>
      <c r="G8" s="2">
        <v>0.05</v>
      </c>
      <c r="H8" s="3">
        <v>45398</v>
      </c>
      <c r="I8" s="4">
        <v>312.91000000000003</v>
      </c>
      <c r="J8" s="14">
        <f t="shared" ca="1" si="0"/>
        <v>46275.421734837961</v>
      </c>
      <c r="K8" s="9">
        <f t="shared" si="1"/>
        <v>45383</v>
      </c>
    </row>
    <row r="9" spans="1:11" ht="15" thickBot="1" x14ac:dyDescent="0.35">
      <c r="A9" s="1" t="s">
        <v>29</v>
      </c>
      <c r="B9" s="2" t="s">
        <v>30</v>
      </c>
      <c r="C9" s="2" t="s">
        <v>17</v>
      </c>
      <c r="D9" s="2" t="s">
        <v>26</v>
      </c>
      <c r="E9" s="2">
        <v>1074.47</v>
      </c>
      <c r="F9" s="2">
        <v>6</v>
      </c>
      <c r="G9" s="2">
        <v>0.2</v>
      </c>
      <c r="H9" s="3">
        <v>45401</v>
      </c>
      <c r="I9" s="4">
        <v>300.85000000000002</v>
      </c>
      <c r="J9" s="14">
        <f t="shared" ca="1" si="0"/>
        <v>46275.421734837961</v>
      </c>
      <c r="K9" s="9">
        <f t="shared" si="1"/>
        <v>45383</v>
      </c>
    </row>
    <row r="10" spans="1:11" ht="15" thickBot="1" x14ac:dyDescent="0.35">
      <c r="A10" s="1" t="s">
        <v>31</v>
      </c>
      <c r="B10" s="2" t="s">
        <v>32</v>
      </c>
      <c r="C10" s="2" t="s">
        <v>33</v>
      </c>
      <c r="D10" s="2" t="s">
        <v>11</v>
      </c>
      <c r="E10" s="2">
        <v>501.54</v>
      </c>
      <c r="F10" s="2">
        <v>11</v>
      </c>
      <c r="G10" s="2">
        <v>0.05</v>
      </c>
      <c r="H10" s="3">
        <v>45401</v>
      </c>
      <c r="I10" s="4">
        <v>190.59</v>
      </c>
      <c r="J10" s="14">
        <f t="shared" ca="1" si="0"/>
        <v>46275.421734837961</v>
      </c>
      <c r="K10" s="9">
        <f t="shared" si="1"/>
        <v>45383</v>
      </c>
    </row>
    <row r="11" spans="1:11" ht="15" thickBot="1" x14ac:dyDescent="0.35">
      <c r="A11" s="1" t="s">
        <v>34</v>
      </c>
      <c r="B11" s="2" t="s">
        <v>35</v>
      </c>
      <c r="C11" s="2" t="s">
        <v>33</v>
      </c>
      <c r="D11" s="2" t="s">
        <v>14</v>
      </c>
      <c r="E11" s="2">
        <v>737.31</v>
      </c>
      <c r="F11" s="2">
        <v>2</v>
      </c>
      <c r="G11" s="2">
        <v>0.05</v>
      </c>
      <c r="H11" s="3">
        <v>45401</v>
      </c>
      <c r="I11" s="4">
        <v>350.22</v>
      </c>
      <c r="J11" s="14">
        <f t="shared" ca="1" si="0"/>
        <v>46275.421734837961</v>
      </c>
      <c r="K11" s="9">
        <f t="shared" si="1"/>
        <v>45383</v>
      </c>
    </row>
    <row r="12" spans="1:11" ht="15" thickBot="1" x14ac:dyDescent="0.35">
      <c r="A12" s="1" t="s">
        <v>36</v>
      </c>
      <c r="B12" s="2" t="s">
        <v>37</v>
      </c>
      <c r="C12" s="2" t="s">
        <v>10</v>
      </c>
      <c r="D12" s="2" t="s">
        <v>38</v>
      </c>
      <c r="E12" s="2">
        <v>1572.82</v>
      </c>
      <c r="F12" s="2">
        <v>6</v>
      </c>
      <c r="G12" s="2">
        <v>0.05</v>
      </c>
      <c r="H12" s="3">
        <v>45402</v>
      </c>
      <c r="I12" s="4">
        <v>672.38</v>
      </c>
      <c r="J12" s="14">
        <f t="shared" ca="1" si="0"/>
        <v>46275.421734837961</v>
      </c>
      <c r="K12" s="9">
        <f t="shared" si="1"/>
        <v>45383</v>
      </c>
    </row>
    <row r="13" spans="1:11" ht="15" thickBot="1" x14ac:dyDescent="0.35">
      <c r="A13" s="1" t="s">
        <v>36</v>
      </c>
      <c r="B13" s="2" t="s">
        <v>35</v>
      </c>
      <c r="C13" s="2" t="s">
        <v>33</v>
      </c>
      <c r="D13" s="2" t="s">
        <v>11</v>
      </c>
      <c r="E13" s="2">
        <v>1343.13</v>
      </c>
      <c r="F13" s="2">
        <v>14</v>
      </c>
      <c r="G13" s="2">
        <v>0.15</v>
      </c>
      <c r="H13" s="3">
        <v>45404</v>
      </c>
      <c r="I13" s="4">
        <v>456.66</v>
      </c>
      <c r="J13" s="14">
        <f t="shared" ca="1" si="0"/>
        <v>46275.421734837961</v>
      </c>
      <c r="K13" s="9">
        <f t="shared" si="1"/>
        <v>45383</v>
      </c>
    </row>
    <row r="14" spans="1:11" ht="15" thickBot="1" x14ac:dyDescent="0.35">
      <c r="A14" s="1" t="s">
        <v>24</v>
      </c>
      <c r="B14" s="2" t="s">
        <v>25</v>
      </c>
      <c r="C14" s="2" t="s">
        <v>33</v>
      </c>
      <c r="D14" s="2" t="s">
        <v>11</v>
      </c>
      <c r="E14" s="2">
        <v>1191.58</v>
      </c>
      <c r="F14" s="2">
        <v>14</v>
      </c>
      <c r="G14" s="2">
        <v>0.05</v>
      </c>
      <c r="H14" s="3">
        <v>45406</v>
      </c>
      <c r="I14" s="4">
        <v>452.8</v>
      </c>
      <c r="J14" s="14">
        <f t="shared" ca="1" si="0"/>
        <v>46275.421734837961</v>
      </c>
      <c r="K14" s="9">
        <f t="shared" si="1"/>
        <v>45383</v>
      </c>
    </row>
    <row r="15" spans="1:11" ht="15" thickBot="1" x14ac:dyDescent="0.35">
      <c r="A15" s="1" t="s">
        <v>39</v>
      </c>
      <c r="B15" s="2" t="s">
        <v>13</v>
      </c>
      <c r="C15" s="2" t="s">
        <v>10</v>
      </c>
      <c r="D15" s="2" t="s">
        <v>26</v>
      </c>
      <c r="E15" s="2">
        <v>822.28</v>
      </c>
      <c r="F15" s="2">
        <v>7</v>
      </c>
      <c r="G15" s="2">
        <v>0.05</v>
      </c>
      <c r="H15" s="3">
        <v>45406</v>
      </c>
      <c r="I15" s="4">
        <v>273.41000000000003</v>
      </c>
      <c r="J15" s="14">
        <f t="shared" ca="1" si="0"/>
        <v>46275.421734837961</v>
      </c>
      <c r="K15" s="9">
        <f t="shared" si="1"/>
        <v>45383</v>
      </c>
    </row>
    <row r="16" spans="1:11" ht="15" thickBot="1" x14ac:dyDescent="0.35">
      <c r="A16" s="1" t="s">
        <v>40</v>
      </c>
      <c r="B16" s="2" t="s">
        <v>41</v>
      </c>
      <c r="C16" s="2" t="s">
        <v>23</v>
      </c>
      <c r="D16" s="2" t="s">
        <v>26</v>
      </c>
      <c r="E16" s="2">
        <v>521.66999999999996</v>
      </c>
      <c r="F16" s="2">
        <v>15</v>
      </c>
      <c r="G16" s="2">
        <v>0.15</v>
      </c>
      <c r="H16" s="3">
        <v>45409</v>
      </c>
      <c r="I16" s="4">
        <v>155.19999999999999</v>
      </c>
      <c r="J16" s="14">
        <f t="shared" ca="1" si="0"/>
        <v>46275.421734837961</v>
      </c>
      <c r="K16" s="9">
        <f t="shared" si="1"/>
        <v>45383</v>
      </c>
    </row>
    <row r="17" spans="1:11" ht="15" thickBot="1" x14ac:dyDescent="0.35">
      <c r="A17" s="1" t="s">
        <v>18</v>
      </c>
      <c r="B17" s="2" t="s">
        <v>42</v>
      </c>
      <c r="C17" s="2" t="s">
        <v>19</v>
      </c>
      <c r="D17" s="2" t="s">
        <v>20</v>
      </c>
      <c r="E17" s="2">
        <v>1502.93</v>
      </c>
      <c r="F17" s="2">
        <v>14</v>
      </c>
      <c r="G17" s="2">
        <v>0.2</v>
      </c>
      <c r="H17" s="3">
        <v>45410</v>
      </c>
      <c r="I17" s="4">
        <v>300.58999999999997</v>
      </c>
      <c r="J17" s="14">
        <f t="shared" ca="1" si="0"/>
        <v>46275.421734837961</v>
      </c>
      <c r="K17" s="9">
        <f t="shared" si="1"/>
        <v>45383</v>
      </c>
    </row>
    <row r="18" spans="1:11" ht="15" thickBot="1" x14ac:dyDescent="0.35">
      <c r="A18" s="1" t="s">
        <v>43</v>
      </c>
      <c r="B18" s="2" t="s">
        <v>13</v>
      </c>
      <c r="C18" s="2" t="s">
        <v>19</v>
      </c>
      <c r="D18" s="2" t="s">
        <v>11</v>
      </c>
      <c r="E18" s="2">
        <v>877.58</v>
      </c>
      <c r="F18" s="2">
        <v>10</v>
      </c>
      <c r="G18" s="2">
        <v>0.15</v>
      </c>
      <c r="H18" s="3">
        <v>45411</v>
      </c>
      <c r="I18" s="4">
        <v>298.38</v>
      </c>
      <c r="J18" s="14">
        <f t="shared" ca="1" si="0"/>
        <v>46275.421734837961</v>
      </c>
      <c r="K18" s="9">
        <f t="shared" si="1"/>
        <v>45383</v>
      </c>
    </row>
    <row r="19" spans="1:11" ht="15" thickBot="1" x14ac:dyDescent="0.35">
      <c r="A19" s="1" t="s">
        <v>27</v>
      </c>
      <c r="B19" s="2" t="s">
        <v>44</v>
      </c>
      <c r="C19" s="2" t="s">
        <v>10</v>
      </c>
      <c r="D19" s="2" t="s">
        <v>11</v>
      </c>
      <c r="E19" s="2">
        <v>636.70000000000005</v>
      </c>
      <c r="F19" s="2">
        <v>4</v>
      </c>
      <c r="G19" s="2">
        <v>0.2</v>
      </c>
      <c r="H19" s="3">
        <v>45411</v>
      </c>
      <c r="I19" s="4">
        <v>203.74</v>
      </c>
      <c r="J19" s="14">
        <f t="shared" ca="1" si="0"/>
        <v>46275.421734837961</v>
      </c>
      <c r="K19" s="9">
        <f t="shared" si="1"/>
        <v>45383</v>
      </c>
    </row>
    <row r="20" spans="1:11" ht="15" thickBot="1" x14ac:dyDescent="0.35">
      <c r="A20" s="1" t="s">
        <v>45</v>
      </c>
      <c r="B20" s="2" t="s">
        <v>46</v>
      </c>
      <c r="C20" s="2" t="s">
        <v>10</v>
      </c>
      <c r="D20" s="2" t="s">
        <v>11</v>
      </c>
      <c r="E20" s="2">
        <v>1506.14</v>
      </c>
      <c r="F20" s="2">
        <v>13</v>
      </c>
      <c r="G20" s="2">
        <v>0.2</v>
      </c>
      <c r="H20" s="3">
        <v>45412</v>
      </c>
      <c r="I20" s="4">
        <v>481.96</v>
      </c>
      <c r="J20" s="14">
        <f t="shared" ca="1" si="0"/>
        <v>46275.421734837961</v>
      </c>
      <c r="K20" s="9">
        <f t="shared" si="1"/>
        <v>45383</v>
      </c>
    </row>
    <row r="21" spans="1:11" ht="15" thickBot="1" x14ac:dyDescent="0.35">
      <c r="A21" s="1" t="s">
        <v>29</v>
      </c>
      <c r="B21" s="2" t="s">
        <v>30</v>
      </c>
      <c r="C21" s="2" t="s">
        <v>33</v>
      </c>
      <c r="D21" s="2" t="s">
        <v>20</v>
      </c>
      <c r="E21" s="2">
        <v>645.02</v>
      </c>
      <c r="F21" s="2">
        <v>4</v>
      </c>
      <c r="G21" s="2">
        <v>0</v>
      </c>
      <c r="H21" s="3">
        <v>45414</v>
      </c>
      <c r="I21" s="4">
        <v>161.26</v>
      </c>
      <c r="J21" s="14">
        <f t="shared" ca="1" si="0"/>
        <v>46275.421734837961</v>
      </c>
      <c r="K21" s="9">
        <f t="shared" si="1"/>
        <v>45413</v>
      </c>
    </row>
    <row r="22" spans="1:11" ht="15" thickBot="1" x14ac:dyDescent="0.35">
      <c r="A22" s="1" t="s">
        <v>24</v>
      </c>
      <c r="B22" s="2" t="s">
        <v>47</v>
      </c>
      <c r="C22" s="2" t="s">
        <v>19</v>
      </c>
      <c r="D22" s="2" t="s">
        <v>14</v>
      </c>
      <c r="E22" s="2">
        <v>953.3</v>
      </c>
      <c r="F22" s="2">
        <v>11</v>
      </c>
      <c r="G22" s="2">
        <v>0</v>
      </c>
      <c r="H22" s="3">
        <v>45415</v>
      </c>
      <c r="I22" s="4">
        <v>476.65</v>
      </c>
      <c r="J22" s="14">
        <f t="shared" ca="1" si="0"/>
        <v>46275.421734837961</v>
      </c>
      <c r="K22" s="9">
        <f t="shared" si="1"/>
        <v>45413</v>
      </c>
    </row>
    <row r="23" spans="1:11" ht="15" thickBot="1" x14ac:dyDescent="0.35">
      <c r="A23" s="1" t="s">
        <v>48</v>
      </c>
      <c r="B23" s="2" t="s">
        <v>13</v>
      </c>
      <c r="C23" s="2" t="s">
        <v>23</v>
      </c>
      <c r="D23" s="2" t="s">
        <v>20</v>
      </c>
      <c r="E23" s="2">
        <v>388.56</v>
      </c>
      <c r="F23" s="2">
        <v>14</v>
      </c>
      <c r="G23" s="2">
        <v>0.15</v>
      </c>
      <c r="H23" s="3">
        <v>45416</v>
      </c>
      <c r="I23" s="4">
        <v>82.57</v>
      </c>
      <c r="J23" s="14">
        <f t="shared" ca="1" si="0"/>
        <v>46275.421734837961</v>
      </c>
      <c r="K23" s="9">
        <f t="shared" si="1"/>
        <v>45413</v>
      </c>
    </row>
    <row r="24" spans="1:11" ht="15" thickBot="1" x14ac:dyDescent="0.35">
      <c r="A24" s="1" t="s">
        <v>8</v>
      </c>
      <c r="B24" s="2" t="s">
        <v>30</v>
      </c>
      <c r="C24" s="2" t="s">
        <v>10</v>
      </c>
      <c r="D24" s="2" t="s">
        <v>11</v>
      </c>
      <c r="E24" s="2">
        <v>743.17</v>
      </c>
      <c r="F24" s="2">
        <v>9</v>
      </c>
      <c r="G24" s="2">
        <v>0</v>
      </c>
      <c r="H24" s="3">
        <v>45416</v>
      </c>
      <c r="I24" s="4">
        <v>297.27</v>
      </c>
      <c r="J24" s="14">
        <f t="shared" ca="1" si="0"/>
        <v>46275.421734837961</v>
      </c>
      <c r="K24" s="9">
        <f t="shared" si="1"/>
        <v>45413</v>
      </c>
    </row>
    <row r="25" spans="1:11" ht="15" thickBot="1" x14ac:dyDescent="0.35">
      <c r="A25" s="1" t="s">
        <v>39</v>
      </c>
      <c r="B25" s="2" t="s">
        <v>30</v>
      </c>
      <c r="C25" s="2" t="s">
        <v>33</v>
      </c>
      <c r="D25" s="2" t="s">
        <v>20</v>
      </c>
      <c r="E25" s="2">
        <v>706.37</v>
      </c>
      <c r="F25" s="2">
        <v>6</v>
      </c>
      <c r="G25" s="2">
        <v>0</v>
      </c>
      <c r="H25" s="3">
        <v>45416</v>
      </c>
      <c r="I25" s="4">
        <v>176.59</v>
      </c>
      <c r="J25" s="14">
        <f t="shared" ca="1" si="0"/>
        <v>46275.421734837961</v>
      </c>
      <c r="K25" s="9">
        <f t="shared" si="1"/>
        <v>45413</v>
      </c>
    </row>
    <row r="26" spans="1:11" ht="15" thickBot="1" x14ac:dyDescent="0.35">
      <c r="A26" s="1" t="s">
        <v>12</v>
      </c>
      <c r="B26" s="2" t="s">
        <v>30</v>
      </c>
      <c r="C26" s="2" t="s">
        <v>33</v>
      </c>
      <c r="D26" s="2" t="s">
        <v>38</v>
      </c>
      <c r="E26" s="2">
        <v>925.31</v>
      </c>
      <c r="F26" s="2">
        <v>8</v>
      </c>
      <c r="G26" s="2">
        <v>0.1</v>
      </c>
      <c r="H26" s="3">
        <v>45418</v>
      </c>
      <c r="I26" s="4">
        <v>374.75</v>
      </c>
      <c r="J26" s="14">
        <f t="shared" ca="1" si="0"/>
        <v>46275.421734837961</v>
      </c>
      <c r="K26" s="9">
        <f t="shared" si="1"/>
        <v>45413</v>
      </c>
    </row>
    <row r="27" spans="1:11" ht="15" thickBot="1" x14ac:dyDescent="0.35">
      <c r="A27" s="1" t="s">
        <v>34</v>
      </c>
      <c r="B27" s="2" t="s">
        <v>49</v>
      </c>
      <c r="C27" s="2" t="s">
        <v>19</v>
      </c>
      <c r="D27" s="2" t="s">
        <v>20</v>
      </c>
      <c r="E27" s="2">
        <v>1173.1199999999999</v>
      </c>
      <c r="F27" s="2">
        <v>18</v>
      </c>
      <c r="G27" s="2">
        <v>0</v>
      </c>
      <c r="H27" s="3">
        <v>45418</v>
      </c>
      <c r="I27" s="4">
        <v>293.27999999999997</v>
      </c>
      <c r="J27" s="14">
        <f t="shared" ca="1" si="0"/>
        <v>46275.421734837961</v>
      </c>
      <c r="K27" s="9">
        <f t="shared" si="1"/>
        <v>45413</v>
      </c>
    </row>
    <row r="28" spans="1:11" ht="15" thickBot="1" x14ac:dyDescent="0.35">
      <c r="A28" s="1" t="s">
        <v>21</v>
      </c>
      <c r="B28" s="2" t="s">
        <v>50</v>
      </c>
      <c r="C28" s="2" t="s">
        <v>23</v>
      </c>
      <c r="D28" s="2" t="s">
        <v>26</v>
      </c>
      <c r="E28" s="2">
        <v>675.54</v>
      </c>
      <c r="F28" s="2">
        <v>17</v>
      </c>
      <c r="G28" s="2">
        <v>0</v>
      </c>
      <c r="H28" s="3">
        <v>45420</v>
      </c>
      <c r="I28" s="4">
        <v>236.44</v>
      </c>
      <c r="J28" s="14">
        <f t="shared" ca="1" si="0"/>
        <v>46275.421734837961</v>
      </c>
      <c r="K28" s="9">
        <f t="shared" si="1"/>
        <v>45413</v>
      </c>
    </row>
    <row r="29" spans="1:11" ht="15" thickBot="1" x14ac:dyDescent="0.35">
      <c r="A29" s="1" t="s">
        <v>24</v>
      </c>
      <c r="B29" s="2" t="s">
        <v>13</v>
      </c>
      <c r="C29" s="2" t="s">
        <v>33</v>
      </c>
      <c r="D29" s="2" t="s">
        <v>11</v>
      </c>
      <c r="E29" s="2">
        <v>939.09</v>
      </c>
      <c r="F29" s="2">
        <v>2</v>
      </c>
      <c r="G29" s="2">
        <v>0.05</v>
      </c>
      <c r="H29" s="3">
        <v>45422</v>
      </c>
      <c r="I29" s="4">
        <v>356.85</v>
      </c>
      <c r="J29" s="14">
        <f t="shared" ca="1" si="0"/>
        <v>46275.421734837961</v>
      </c>
      <c r="K29" s="9">
        <f t="shared" si="1"/>
        <v>45413</v>
      </c>
    </row>
    <row r="30" spans="1:11" ht="15" thickBot="1" x14ac:dyDescent="0.35">
      <c r="A30" s="1" t="s">
        <v>51</v>
      </c>
      <c r="B30" s="2" t="s">
        <v>52</v>
      </c>
      <c r="C30" s="2" t="s">
        <v>17</v>
      </c>
      <c r="D30" s="2" t="s">
        <v>38</v>
      </c>
      <c r="E30" s="2">
        <v>983.34</v>
      </c>
      <c r="F30" s="2">
        <v>19</v>
      </c>
      <c r="G30" s="2">
        <v>0.1</v>
      </c>
      <c r="H30" s="3">
        <v>45426</v>
      </c>
      <c r="I30" s="4">
        <v>398.25</v>
      </c>
      <c r="J30" s="14">
        <f t="shared" ca="1" si="0"/>
        <v>46275.421734837961</v>
      </c>
      <c r="K30" s="9">
        <f t="shared" si="1"/>
        <v>45413</v>
      </c>
    </row>
    <row r="31" spans="1:11" ht="15" thickBot="1" x14ac:dyDescent="0.35">
      <c r="A31" s="1" t="s">
        <v>51</v>
      </c>
      <c r="B31" s="2" t="s">
        <v>22</v>
      </c>
      <c r="C31" s="2" t="s">
        <v>19</v>
      </c>
      <c r="D31" s="2" t="s">
        <v>20</v>
      </c>
      <c r="E31" s="2">
        <v>801.21</v>
      </c>
      <c r="F31" s="2">
        <v>3</v>
      </c>
      <c r="G31" s="2">
        <v>0.2</v>
      </c>
      <c r="H31" s="3">
        <v>45426</v>
      </c>
      <c r="I31" s="4">
        <v>160.24</v>
      </c>
      <c r="J31" s="14">
        <f t="shared" ca="1" si="0"/>
        <v>46275.421734837961</v>
      </c>
      <c r="K31" s="9">
        <f t="shared" si="1"/>
        <v>45413</v>
      </c>
    </row>
    <row r="32" spans="1:11" ht="15" thickBot="1" x14ac:dyDescent="0.35">
      <c r="A32" s="1" t="s">
        <v>53</v>
      </c>
      <c r="B32" s="2" t="s">
        <v>54</v>
      </c>
      <c r="C32" s="2" t="s">
        <v>23</v>
      </c>
      <c r="D32" s="2" t="s">
        <v>20</v>
      </c>
      <c r="E32" s="2">
        <v>1450.71</v>
      </c>
      <c r="F32" s="2">
        <v>5</v>
      </c>
      <c r="G32" s="2">
        <v>0.1</v>
      </c>
      <c r="H32" s="3">
        <v>45427</v>
      </c>
      <c r="I32" s="4">
        <v>326.41000000000003</v>
      </c>
      <c r="J32" s="14">
        <f t="shared" ca="1" si="0"/>
        <v>46275.421734837961</v>
      </c>
      <c r="K32" s="9">
        <f t="shared" si="1"/>
        <v>45413</v>
      </c>
    </row>
    <row r="33" spans="1:11" ht="15" thickBot="1" x14ac:dyDescent="0.35">
      <c r="A33" s="1" t="s">
        <v>48</v>
      </c>
      <c r="B33" s="2" t="s">
        <v>55</v>
      </c>
      <c r="C33" s="2" t="s">
        <v>33</v>
      </c>
      <c r="D33" s="2" t="s">
        <v>11</v>
      </c>
      <c r="E33" s="2">
        <v>1023.21</v>
      </c>
      <c r="F33" s="2">
        <v>18</v>
      </c>
      <c r="G33" s="2">
        <v>0.05</v>
      </c>
      <c r="H33" s="3">
        <v>45428</v>
      </c>
      <c r="I33" s="4">
        <v>388.82</v>
      </c>
      <c r="J33" s="14">
        <f t="shared" ca="1" si="0"/>
        <v>46275.421734837961</v>
      </c>
      <c r="K33" s="9">
        <f t="shared" si="1"/>
        <v>45413</v>
      </c>
    </row>
    <row r="34" spans="1:11" ht="15" thickBot="1" x14ac:dyDescent="0.35">
      <c r="A34" s="1" t="s">
        <v>27</v>
      </c>
      <c r="B34" s="2" t="s">
        <v>46</v>
      </c>
      <c r="C34" s="2" t="s">
        <v>10</v>
      </c>
      <c r="D34" s="2" t="s">
        <v>26</v>
      </c>
      <c r="E34" s="2">
        <v>853.72</v>
      </c>
      <c r="F34" s="2">
        <v>5</v>
      </c>
      <c r="G34" s="2">
        <v>0.15</v>
      </c>
      <c r="H34" s="3">
        <v>45428</v>
      </c>
      <c r="I34" s="4">
        <v>253.98</v>
      </c>
      <c r="J34" s="14">
        <f t="shared" ca="1" si="0"/>
        <v>46275.421734837961</v>
      </c>
      <c r="K34" s="9">
        <f t="shared" si="1"/>
        <v>45413</v>
      </c>
    </row>
    <row r="35" spans="1:11" ht="15" thickBot="1" x14ac:dyDescent="0.35">
      <c r="A35" s="1" t="s">
        <v>56</v>
      </c>
      <c r="B35" s="2" t="s">
        <v>42</v>
      </c>
      <c r="C35" s="2" t="s">
        <v>19</v>
      </c>
      <c r="D35" s="2" t="s">
        <v>20</v>
      </c>
      <c r="E35" s="2">
        <v>967.89</v>
      </c>
      <c r="F35" s="2">
        <v>10</v>
      </c>
      <c r="G35" s="2">
        <v>0.1</v>
      </c>
      <c r="H35" s="3">
        <v>45429</v>
      </c>
      <c r="I35" s="4">
        <v>217.78</v>
      </c>
      <c r="J35" s="14">
        <f t="shared" ca="1" si="0"/>
        <v>46275.421734837961</v>
      </c>
      <c r="K35" s="9">
        <f t="shared" si="1"/>
        <v>45413</v>
      </c>
    </row>
    <row r="36" spans="1:11" ht="15" thickBot="1" x14ac:dyDescent="0.35">
      <c r="A36" s="1" t="s">
        <v>57</v>
      </c>
      <c r="B36" s="2" t="s">
        <v>52</v>
      </c>
      <c r="C36" s="2" t="s">
        <v>23</v>
      </c>
      <c r="D36" s="2" t="s">
        <v>38</v>
      </c>
      <c r="E36" s="2">
        <v>1200.9000000000001</v>
      </c>
      <c r="F36" s="2">
        <v>14</v>
      </c>
      <c r="G36" s="2">
        <v>0.05</v>
      </c>
      <c r="H36" s="3">
        <v>45429</v>
      </c>
      <c r="I36" s="4">
        <v>513.38</v>
      </c>
      <c r="J36" s="14">
        <f t="shared" ca="1" si="0"/>
        <v>46275.421734837961</v>
      </c>
      <c r="K36" s="9">
        <f t="shared" si="1"/>
        <v>45413</v>
      </c>
    </row>
    <row r="37" spans="1:11" ht="15" thickBot="1" x14ac:dyDescent="0.35">
      <c r="A37" s="1" t="s">
        <v>12</v>
      </c>
      <c r="B37" s="2" t="s">
        <v>25</v>
      </c>
      <c r="C37" s="2" t="s">
        <v>10</v>
      </c>
      <c r="D37" s="2" t="s">
        <v>11</v>
      </c>
      <c r="E37" s="2">
        <v>472.38</v>
      </c>
      <c r="F37" s="2">
        <v>12</v>
      </c>
      <c r="G37" s="2">
        <v>0.2</v>
      </c>
      <c r="H37" s="3">
        <v>45429</v>
      </c>
      <c r="I37" s="4">
        <v>151.16</v>
      </c>
      <c r="J37" s="14">
        <f t="shared" ca="1" si="0"/>
        <v>46275.421734837961</v>
      </c>
      <c r="K37" s="9">
        <f t="shared" si="1"/>
        <v>45413</v>
      </c>
    </row>
    <row r="38" spans="1:11" ht="15" thickBot="1" x14ac:dyDescent="0.35">
      <c r="A38" s="1" t="s">
        <v>8</v>
      </c>
      <c r="B38" s="2" t="s">
        <v>54</v>
      </c>
      <c r="C38" s="2" t="s">
        <v>17</v>
      </c>
      <c r="D38" s="2" t="s">
        <v>38</v>
      </c>
      <c r="E38" s="2">
        <v>840.92</v>
      </c>
      <c r="F38" s="2">
        <v>9</v>
      </c>
      <c r="G38" s="2">
        <v>0.05</v>
      </c>
      <c r="H38" s="3">
        <v>45429</v>
      </c>
      <c r="I38" s="4">
        <v>359.49</v>
      </c>
      <c r="J38" s="14">
        <f t="shared" ca="1" si="0"/>
        <v>46275.421734837961</v>
      </c>
      <c r="K38" s="9">
        <f t="shared" si="1"/>
        <v>45413</v>
      </c>
    </row>
    <row r="39" spans="1:11" ht="15" thickBot="1" x14ac:dyDescent="0.35">
      <c r="A39" s="1" t="s">
        <v>51</v>
      </c>
      <c r="B39" s="2" t="s">
        <v>47</v>
      </c>
      <c r="C39" s="2" t="s">
        <v>33</v>
      </c>
      <c r="D39" s="2" t="s">
        <v>26</v>
      </c>
      <c r="E39" s="2">
        <v>1410.06</v>
      </c>
      <c r="F39" s="2">
        <v>11</v>
      </c>
      <c r="G39" s="2">
        <v>0.05</v>
      </c>
      <c r="H39" s="3">
        <v>45434</v>
      </c>
      <c r="I39" s="4">
        <v>468.84</v>
      </c>
      <c r="J39" s="14">
        <f t="shared" ca="1" si="0"/>
        <v>46275.421734837961</v>
      </c>
      <c r="K39" s="9">
        <f t="shared" si="1"/>
        <v>45413</v>
      </c>
    </row>
    <row r="40" spans="1:11" ht="15" thickBot="1" x14ac:dyDescent="0.35">
      <c r="A40" s="1" t="s">
        <v>43</v>
      </c>
      <c r="B40" s="2" t="s">
        <v>58</v>
      </c>
      <c r="C40" s="2" t="s">
        <v>33</v>
      </c>
      <c r="D40" s="2" t="s">
        <v>26</v>
      </c>
      <c r="E40" s="2">
        <v>773.09</v>
      </c>
      <c r="F40" s="2">
        <v>13</v>
      </c>
      <c r="G40" s="2">
        <v>0.15</v>
      </c>
      <c r="H40" s="3">
        <v>45434</v>
      </c>
      <c r="I40" s="4">
        <v>229.99</v>
      </c>
      <c r="J40" s="14">
        <f t="shared" ca="1" si="0"/>
        <v>46275.421734837961</v>
      </c>
      <c r="K40" s="9">
        <f t="shared" si="1"/>
        <v>45413</v>
      </c>
    </row>
    <row r="41" spans="1:11" ht="15" thickBot="1" x14ac:dyDescent="0.35">
      <c r="A41" s="1" t="s">
        <v>59</v>
      </c>
      <c r="B41" s="2" t="s">
        <v>60</v>
      </c>
      <c r="C41" s="2" t="s">
        <v>17</v>
      </c>
      <c r="D41" s="2" t="s">
        <v>11</v>
      </c>
      <c r="E41" s="2">
        <v>580.42999999999995</v>
      </c>
      <c r="F41" s="2">
        <v>19</v>
      </c>
      <c r="G41" s="2">
        <v>0.15</v>
      </c>
      <c r="H41" s="3">
        <v>45435</v>
      </c>
      <c r="I41" s="4">
        <v>197.35</v>
      </c>
      <c r="J41" s="14">
        <f t="shared" ca="1" si="0"/>
        <v>46275.421734837961</v>
      </c>
      <c r="K41" s="9">
        <f t="shared" si="1"/>
        <v>45413</v>
      </c>
    </row>
    <row r="42" spans="1:11" ht="15" thickBot="1" x14ac:dyDescent="0.35">
      <c r="A42" s="1" t="s">
        <v>18</v>
      </c>
      <c r="B42" s="2" t="s">
        <v>41</v>
      </c>
      <c r="C42" s="2" t="s">
        <v>19</v>
      </c>
      <c r="D42" s="2" t="s">
        <v>11</v>
      </c>
      <c r="E42" s="2">
        <v>1151.21</v>
      </c>
      <c r="F42" s="2">
        <v>15</v>
      </c>
      <c r="G42" s="2">
        <v>0.1</v>
      </c>
      <c r="H42" s="3">
        <v>45445</v>
      </c>
      <c r="I42" s="4">
        <v>414.44</v>
      </c>
      <c r="J42" s="14">
        <f t="shared" ca="1" si="0"/>
        <v>46275.421734837961</v>
      </c>
      <c r="K42" s="9">
        <f t="shared" si="1"/>
        <v>45444</v>
      </c>
    </row>
    <row r="43" spans="1:11" ht="15" thickBot="1" x14ac:dyDescent="0.35">
      <c r="A43" s="1" t="s">
        <v>51</v>
      </c>
      <c r="B43" s="2" t="s">
        <v>22</v>
      </c>
      <c r="C43" s="2" t="s">
        <v>33</v>
      </c>
      <c r="D43" s="2" t="s">
        <v>38</v>
      </c>
      <c r="E43" s="2">
        <v>1025.98</v>
      </c>
      <c r="F43" s="2">
        <v>5</v>
      </c>
      <c r="G43" s="2">
        <v>0.2</v>
      </c>
      <c r="H43" s="3">
        <v>45447</v>
      </c>
      <c r="I43" s="4">
        <v>369.35</v>
      </c>
      <c r="J43" s="14">
        <f t="shared" ca="1" si="0"/>
        <v>46275.421734837961</v>
      </c>
      <c r="K43" s="9">
        <f t="shared" si="1"/>
        <v>45444</v>
      </c>
    </row>
    <row r="44" spans="1:11" ht="15" thickBot="1" x14ac:dyDescent="0.35">
      <c r="A44" s="1" t="s">
        <v>39</v>
      </c>
      <c r="B44" s="2" t="s">
        <v>55</v>
      </c>
      <c r="C44" s="2" t="s">
        <v>17</v>
      </c>
      <c r="D44" s="2" t="s">
        <v>38</v>
      </c>
      <c r="E44" s="2">
        <v>556.41999999999996</v>
      </c>
      <c r="F44" s="2">
        <v>11</v>
      </c>
      <c r="G44" s="2">
        <v>0.15</v>
      </c>
      <c r="H44" s="3">
        <v>45447</v>
      </c>
      <c r="I44" s="4">
        <v>212.83</v>
      </c>
      <c r="J44" s="14">
        <f t="shared" ca="1" si="0"/>
        <v>46275.421734837961</v>
      </c>
      <c r="K44" s="9">
        <f t="shared" si="1"/>
        <v>45444</v>
      </c>
    </row>
    <row r="45" spans="1:11" ht="15" thickBot="1" x14ac:dyDescent="0.35">
      <c r="A45" s="1" t="s">
        <v>56</v>
      </c>
      <c r="B45" s="2" t="s">
        <v>22</v>
      </c>
      <c r="C45" s="2" t="s">
        <v>33</v>
      </c>
      <c r="D45" s="2" t="s">
        <v>11</v>
      </c>
      <c r="E45" s="2">
        <v>840.85</v>
      </c>
      <c r="F45" s="2">
        <v>19</v>
      </c>
      <c r="G45" s="2">
        <v>0.1</v>
      </c>
      <c r="H45" s="3">
        <v>45448</v>
      </c>
      <c r="I45" s="4">
        <v>302.70999999999998</v>
      </c>
      <c r="J45" s="14">
        <f t="shared" ca="1" si="0"/>
        <v>46275.421734837961</v>
      </c>
      <c r="K45" s="9">
        <f t="shared" si="1"/>
        <v>45444</v>
      </c>
    </row>
    <row r="46" spans="1:11" ht="15" thickBot="1" x14ac:dyDescent="0.35">
      <c r="A46" s="1" t="s">
        <v>29</v>
      </c>
      <c r="B46" s="2" t="s">
        <v>60</v>
      </c>
      <c r="C46" s="2" t="s">
        <v>23</v>
      </c>
      <c r="D46" s="2" t="s">
        <v>26</v>
      </c>
      <c r="E46" s="2">
        <v>1227.25</v>
      </c>
      <c r="F46" s="2">
        <v>12</v>
      </c>
      <c r="G46" s="2">
        <v>0.15</v>
      </c>
      <c r="H46" s="3">
        <v>45448</v>
      </c>
      <c r="I46" s="4">
        <v>365.11</v>
      </c>
      <c r="J46" s="14">
        <f t="shared" ca="1" si="0"/>
        <v>46275.421734837961</v>
      </c>
      <c r="K46" s="9">
        <f t="shared" si="1"/>
        <v>45444</v>
      </c>
    </row>
    <row r="47" spans="1:11" ht="15" thickBot="1" x14ac:dyDescent="0.35">
      <c r="A47" s="1" t="s">
        <v>15</v>
      </c>
      <c r="B47" s="2" t="s">
        <v>61</v>
      </c>
      <c r="C47" s="2" t="s">
        <v>33</v>
      </c>
      <c r="D47" s="2" t="s">
        <v>20</v>
      </c>
      <c r="E47" s="2">
        <v>856.7</v>
      </c>
      <c r="F47" s="2">
        <v>2</v>
      </c>
      <c r="G47" s="2">
        <v>0</v>
      </c>
      <c r="H47" s="3">
        <v>45449</v>
      </c>
      <c r="I47" s="4">
        <v>214.18</v>
      </c>
      <c r="J47" s="14">
        <f t="shared" ca="1" si="0"/>
        <v>46275.421734837961</v>
      </c>
      <c r="K47" s="9">
        <f t="shared" si="1"/>
        <v>45444</v>
      </c>
    </row>
    <row r="48" spans="1:11" ht="15" thickBot="1" x14ac:dyDescent="0.35">
      <c r="A48" s="1" t="s">
        <v>53</v>
      </c>
      <c r="B48" s="2" t="s">
        <v>55</v>
      </c>
      <c r="C48" s="2" t="s">
        <v>33</v>
      </c>
      <c r="D48" s="2" t="s">
        <v>38</v>
      </c>
      <c r="E48" s="2">
        <v>1225.42</v>
      </c>
      <c r="F48" s="2">
        <v>8</v>
      </c>
      <c r="G48" s="2">
        <v>0.15</v>
      </c>
      <c r="H48" s="3">
        <v>45449</v>
      </c>
      <c r="I48" s="4">
        <v>468.72</v>
      </c>
      <c r="J48" s="14">
        <f t="shared" ca="1" si="0"/>
        <v>46275.421734837961</v>
      </c>
      <c r="K48" s="9">
        <f t="shared" si="1"/>
        <v>45444</v>
      </c>
    </row>
    <row r="49" spans="1:11" ht="15" thickBot="1" x14ac:dyDescent="0.35">
      <c r="A49" s="1" t="s">
        <v>62</v>
      </c>
      <c r="B49" s="2" t="s">
        <v>30</v>
      </c>
      <c r="C49" s="2" t="s">
        <v>23</v>
      </c>
      <c r="D49" s="2" t="s">
        <v>38</v>
      </c>
      <c r="E49" s="2">
        <v>1001.57</v>
      </c>
      <c r="F49" s="2">
        <v>12</v>
      </c>
      <c r="G49" s="2">
        <v>0</v>
      </c>
      <c r="H49" s="3">
        <v>45450</v>
      </c>
      <c r="I49" s="4">
        <v>450.71</v>
      </c>
      <c r="J49" s="14">
        <f t="shared" ca="1" si="0"/>
        <v>46275.421734837961</v>
      </c>
      <c r="K49" s="9">
        <f t="shared" si="1"/>
        <v>45444</v>
      </c>
    </row>
    <row r="50" spans="1:11" ht="15" thickBot="1" x14ac:dyDescent="0.35">
      <c r="A50" s="1" t="s">
        <v>56</v>
      </c>
      <c r="B50" s="2" t="s">
        <v>25</v>
      </c>
      <c r="C50" s="2" t="s">
        <v>17</v>
      </c>
      <c r="D50" s="2" t="s">
        <v>26</v>
      </c>
      <c r="E50" s="2">
        <v>1186.8499999999999</v>
      </c>
      <c r="F50" s="2">
        <v>19</v>
      </c>
      <c r="G50" s="2">
        <v>0.2</v>
      </c>
      <c r="H50" s="3">
        <v>45451</v>
      </c>
      <c r="I50" s="4">
        <v>332.32</v>
      </c>
      <c r="J50" s="14">
        <f t="shared" ca="1" si="0"/>
        <v>46275.421734837961</v>
      </c>
      <c r="K50" s="9">
        <f t="shared" si="1"/>
        <v>45444</v>
      </c>
    </row>
    <row r="51" spans="1:11" ht="15" thickBot="1" x14ac:dyDescent="0.35">
      <c r="A51" s="1" t="s">
        <v>43</v>
      </c>
      <c r="B51" s="2" t="s">
        <v>50</v>
      </c>
      <c r="C51" s="2" t="s">
        <v>19</v>
      </c>
      <c r="D51" s="2" t="s">
        <v>20</v>
      </c>
      <c r="E51" s="2">
        <v>775.45</v>
      </c>
      <c r="F51" s="2">
        <v>6</v>
      </c>
      <c r="G51" s="2">
        <v>0.1</v>
      </c>
      <c r="H51" s="3">
        <v>45457</v>
      </c>
      <c r="I51" s="4">
        <v>174.48</v>
      </c>
      <c r="J51" s="14">
        <f t="shared" ca="1" si="0"/>
        <v>46275.421734837961</v>
      </c>
      <c r="K51" s="9">
        <f t="shared" si="1"/>
        <v>45444</v>
      </c>
    </row>
    <row r="52" spans="1:11" ht="15" thickBot="1" x14ac:dyDescent="0.35">
      <c r="A52" s="1" t="s">
        <v>24</v>
      </c>
      <c r="B52" s="2" t="s">
        <v>32</v>
      </c>
      <c r="C52" s="2" t="s">
        <v>19</v>
      </c>
      <c r="D52" s="2" t="s">
        <v>20</v>
      </c>
      <c r="E52" s="2">
        <v>1021.47</v>
      </c>
      <c r="F52" s="2">
        <v>6</v>
      </c>
      <c r="G52" s="2">
        <v>0.05</v>
      </c>
      <c r="H52" s="3">
        <v>45461</v>
      </c>
      <c r="I52" s="4">
        <v>242.6</v>
      </c>
      <c r="J52" s="14">
        <f t="shared" ca="1" si="0"/>
        <v>46275.421734837961</v>
      </c>
      <c r="K52" s="9">
        <f t="shared" si="1"/>
        <v>45444</v>
      </c>
    </row>
    <row r="53" spans="1:11" ht="15" thickBot="1" x14ac:dyDescent="0.35">
      <c r="A53" s="1" t="s">
        <v>57</v>
      </c>
      <c r="B53" s="2" t="s">
        <v>22</v>
      </c>
      <c r="C53" s="2" t="s">
        <v>19</v>
      </c>
      <c r="D53" s="2" t="s">
        <v>14</v>
      </c>
      <c r="E53" s="2">
        <v>1226.6199999999999</v>
      </c>
      <c r="F53" s="2">
        <v>7</v>
      </c>
      <c r="G53" s="2">
        <v>0.1</v>
      </c>
      <c r="H53" s="3">
        <v>45463</v>
      </c>
      <c r="I53" s="4">
        <v>551.98</v>
      </c>
      <c r="J53" s="14">
        <f t="shared" ca="1" si="0"/>
        <v>46275.421734837961</v>
      </c>
      <c r="K53" s="9">
        <f t="shared" si="1"/>
        <v>45444</v>
      </c>
    </row>
    <row r="54" spans="1:11" ht="15" thickBot="1" x14ac:dyDescent="0.35">
      <c r="A54" s="1" t="s">
        <v>21</v>
      </c>
      <c r="B54" s="2" t="s">
        <v>63</v>
      </c>
      <c r="C54" s="2" t="s">
        <v>19</v>
      </c>
      <c r="D54" s="2" t="s">
        <v>26</v>
      </c>
      <c r="E54" s="2">
        <v>1086.93</v>
      </c>
      <c r="F54" s="2">
        <v>2</v>
      </c>
      <c r="G54" s="2">
        <v>0</v>
      </c>
      <c r="H54" s="3">
        <v>45464</v>
      </c>
      <c r="I54" s="4">
        <v>380.43</v>
      </c>
      <c r="J54" s="14">
        <f t="shared" ca="1" si="0"/>
        <v>46275.421734837961</v>
      </c>
      <c r="K54" s="9">
        <f t="shared" si="1"/>
        <v>45444</v>
      </c>
    </row>
    <row r="55" spans="1:11" ht="15" thickBot="1" x14ac:dyDescent="0.35">
      <c r="A55" s="1" t="s">
        <v>64</v>
      </c>
      <c r="B55" s="2" t="s">
        <v>47</v>
      </c>
      <c r="C55" s="2" t="s">
        <v>10</v>
      </c>
      <c r="D55" s="2" t="s">
        <v>11</v>
      </c>
      <c r="E55" s="2">
        <v>942.9</v>
      </c>
      <c r="F55" s="2">
        <v>18</v>
      </c>
      <c r="G55" s="2">
        <v>0.1</v>
      </c>
      <c r="H55" s="3">
        <v>45466</v>
      </c>
      <c r="I55" s="4">
        <v>339.44</v>
      </c>
      <c r="J55" s="14">
        <f t="shared" ca="1" si="0"/>
        <v>46275.421734837961</v>
      </c>
      <c r="K55" s="9">
        <f t="shared" si="1"/>
        <v>45444</v>
      </c>
    </row>
    <row r="56" spans="1:11" ht="15" thickBot="1" x14ac:dyDescent="0.35">
      <c r="A56" s="1" t="s">
        <v>31</v>
      </c>
      <c r="B56" s="2" t="s">
        <v>37</v>
      </c>
      <c r="C56" s="2" t="s">
        <v>23</v>
      </c>
      <c r="D56" s="2" t="s">
        <v>20</v>
      </c>
      <c r="E56" s="2">
        <v>818.8</v>
      </c>
      <c r="F56" s="2">
        <v>15</v>
      </c>
      <c r="G56" s="2">
        <v>0.15</v>
      </c>
      <c r="H56" s="3">
        <v>45468</v>
      </c>
      <c r="I56" s="4">
        <v>173.99</v>
      </c>
      <c r="J56" s="14">
        <f t="shared" ca="1" si="0"/>
        <v>46275.421734837961</v>
      </c>
      <c r="K56" s="9">
        <f t="shared" si="1"/>
        <v>45444</v>
      </c>
    </row>
    <row r="57" spans="1:11" ht="15" thickBot="1" x14ac:dyDescent="0.35">
      <c r="A57" s="1" t="s">
        <v>18</v>
      </c>
      <c r="B57" s="2" t="s">
        <v>13</v>
      </c>
      <c r="C57" s="2" t="s">
        <v>19</v>
      </c>
      <c r="D57" s="2" t="s">
        <v>26</v>
      </c>
      <c r="E57" s="2">
        <v>919.04</v>
      </c>
      <c r="F57" s="2">
        <v>10</v>
      </c>
      <c r="G57" s="2">
        <v>0.2</v>
      </c>
      <c r="H57" s="3">
        <v>45468</v>
      </c>
      <c r="I57" s="4">
        <v>257.33</v>
      </c>
      <c r="J57" s="14">
        <f t="shared" ca="1" si="0"/>
        <v>46275.421734837961</v>
      </c>
      <c r="K57" s="9">
        <f t="shared" si="1"/>
        <v>45444</v>
      </c>
    </row>
    <row r="58" spans="1:11" ht="15" thickBot="1" x14ac:dyDescent="0.35">
      <c r="A58" s="1" t="s">
        <v>21</v>
      </c>
      <c r="B58" s="2" t="s">
        <v>65</v>
      </c>
      <c r="C58" s="2" t="s">
        <v>33</v>
      </c>
      <c r="D58" s="2" t="s">
        <v>11</v>
      </c>
      <c r="E58" s="2">
        <v>973.26</v>
      </c>
      <c r="F58" s="2">
        <v>11</v>
      </c>
      <c r="G58" s="2">
        <v>0</v>
      </c>
      <c r="H58" s="3">
        <v>45470</v>
      </c>
      <c r="I58" s="4">
        <v>389.3</v>
      </c>
      <c r="J58" s="14">
        <f t="shared" ca="1" si="0"/>
        <v>46275.421734837961</v>
      </c>
      <c r="K58" s="9">
        <f t="shared" si="1"/>
        <v>45444</v>
      </c>
    </row>
    <row r="59" spans="1:11" ht="15" thickBot="1" x14ac:dyDescent="0.35">
      <c r="A59" s="1" t="s">
        <v>40</v>
      </c>
      <c r="B59" s="2" t="s">
        <v>63</v>
      </c>
      <c r="C59" s="2" t="s">
        <v>23</v>
      </c>
      <c r="D59" s="2" t="s">
        <v>20</v>
      </c>
      <c r="E59" s="2">
        <v>741.61</v>
      </c>
      <c r="F59" s="2">
        <v>1</v>
      </c>
      <c r="G59" s="2">
        <v>0.2</v>
      </c>
      <c r="H59" s="3">
        <v>45471</v>
      </c>
      <c r="I59" s="4">
        <v>148.32</v>
      </c>
      <c r="J59" s="14">
        <f t="shared" ca="1" si="0"/>
        <v>46275.421734837961</v>
      </c>
      <c r="K59" s="9">
        <f t="shared" si="1"/>
        <v>45444</v>
      </c>
    </row>
    <row r="60" spans="1:11" ht="15" thickBot="1" x14ac:dyDescent="0.35">
      <c r="A60" s="1" t="s">
        <v>66</v>
      </c>
      <c r="B60" s="2" t="s">
        <v>37</v>
      </c>
      <c r="C60" s="2" t="s">
        <v>23</v>
      </c>
      <c r="D60" s="2" t="s">
        <v>11</v>
      </c>
      <c r="E60" s="2">
        <v>1248.82</v>
      </c>
      <c r="F60" s="2">
        <v>2</v>
      </c>
      <c r="G60" s="2">
        <v>0.1</v>
      </c>
      <c r="H60" s="3">
        <v>45473</v>
      </c>
      <c r="I60" s="4">
        <v>449.58</v>
      </c>
      <c r="J60" s="14">
        <f t="shared" ca="1" si="0"/>
        <v>46275.421734837961</v>
      </c>
      <c r="K60" s="9">
        <f t="shared" si="1"/>
        <v>45444</v>
      </c>
    </row>
    <row r="61" spans="1:11" ht="15" thickBot="1" x14ac:dyDescent="0.35">
      <c r="A61" s="1" t="s">
        <v>12</v>
      </c>
      <c r="B61" s="2" t="s">
        <v>58</v>
      </c>
      <c r="C61" s="2" t="s">
        <v>10</v>
      </c>
      <c r="D61" s="2" t="s">
        <v>14</v>
      </c>
      <c r="E61" s="2">
        <v>1360.36</v>
      </c>
      <c r="F61" s="2">
        <v>17</v>
      </c>
      <c r="G61" s="2">
        <v>0</v>
      </c>
      <c r="H61" s="3">
        <v>45473</v>
      </c>
      <c r="I61" s="4">
        <v>680.18</v>
      </c>
      <c r="J61" s="14">
        <f t="shared" ca="1" si="0"/>
        <v>46275.421734837961</v>
      </c>
      <c r="K61" s="9">
        <f t="shared" si="1"/>
        <v>45444</v>
      </c>
    </row>
    <row r="62" spans="1:11" ht="15" thickBot="1" x14ac:dyDescent="0.35">
      <c r="A62" s="1" t="s">
        <v>56</v>
      </c>
      <c r="B62" s="2" t="s">
        <v>30</v>
      </c>
      <c r="C62" s="2" t="s">
        <v>17</v>
      </c>
      <c r="D62" s="2" t="s">
        <v>11</v>
      </c>
      <c r="E62" s="2">
        <v>1383.3</v>
      </c>
      <c r="F62" s="2">
        <v>8</v>
      </c>
      <c r="G62" s="2">
        <v>0.1</v>
      </c>
      <c r="H62" s="3">
        <v>45478</v>
      </c>
      <c r="I62" s="4">
        <v>497.99</v>
      </c>
      <c r="J62" s="14">
        <f t="shared" ca="1" si="0"/>
        <v>46275.421734837961</v>
      </c>
      <c r="K62" s="9">
        <f t="shared" si="1"/>
        <v>45474</v>
      </c>
    </row>
    <row r="63" spans="1:11" ht="15" thickBot="1" x14ac:dyDescent="0.35">
      <c r="A63" s="1" t="s">
        <v>34</v>
      </c>
      <c r="B63" s="2" t="s">
        <v>54</v>
      </c>
      <c r="C63" s="2" t="s">
        <v>33</v>
      </c>
      <c r="D63" s="2" t="s">
        <v>38</v>
      </c>
      <c r="E63" s="2">
        <v>488.99</v>
      </c>
      <c r="F63" s="2">
        <v>9</v>
      </c>
      <c r="G63" s="2">
        <v>0</v>
      </c>
      <c r="H63" s="3">
        <v>45479</v>
      </c>
      <c r="I63" s="4">
        <v>220.05</v>
      </c>
      <c r="J63" s="14">
        <f t="shared" ca="1" si="0"/>
        <v>46275.421734837961</v>
      </c>
      <c r="K63" s="9">
        <f t="shared" si="1"/>
        <v>45474</v>
      </c>
    </row>
    <row r="64" spans="1:11" ht="15" thickBot="1" x14ac:dyDescent="0.35">
      <c r="A64" s="1" t="s">
        <v>29</v>
      </c>
      <c r="B64" s="2" t="s">
        <v>30</v>
      </c>
      <c r="C64" s="2" t="s">
        <v>17</v>
      </c>
      <c r="D64" s="2" t="s">
        <v>26</v>
      </c>
      <c r="E64" s="2">
        <v>933.71</v>
      </c>
      <c r="F64" s="2">
        <v>17</v>
      </c>
      <c r="G64" s="2">
        <v>0.1</v>
      </c>
      <c r="H64" s="3">
        <v>45481</v>
      </c>
      <c r="I64" s="4">
        <v>294.12</v>
      </c>
      <c r="J64" s="14">
        <f t="shared" ca="1" si="0"/>
        <v>46275.421734837961</v>
      </c>
      <c r="K64" s="9">
        <f t="shared" si="1"/>
        <v>45474</v>
      </c>
    </row>
    <row r="65" spans="1:11" ht="15" thickBot="1" x14ac:dyDescent="0.35">
      <c r="A65" s="1" t="s">
        <v>66</v>
      </c>
      <c r="B65" s="2" t="s">
        <v>9</v>
      </c>
      <c r="C65" s="2" t="s">
        <v>10</v>
      </c>
      <c r="D65" s="2" t="s">
        <v>20</v>
      </c>
      <c r="E65" s="2">
        <v>1005.53</v>
      </c>
      <c r="F65" s="2">
        <v>17</v>
      </c>
      <c r="G65" s="2">
        <v>0.2</v>
      </c>
      <c r="H65" s="3">
        <v>45481</v>
      </c>
      <c r="I65" s="4">
        <v>201.11</v>
      </c>
      <c r="J65" s="14">
        <f t="shared" ca="1" si="0"/>
        <v>46275.421734837961</v>
      </c>
      <c r="K65" s="9">
        <f t="shared" si="1"/>
        <v>45474</v>
      </c>
    </row>
    <row r="66" spans="1:11" ht="15" thickBot="1" x14ac:dyDescent="0.35">
      <c r="A66" s="1" t="s">
        <v>40</v>
      </c>
      <c r="B66" s="2" t="s">
        <v>60</v>
      </c>
      <c r="C66" s="2" t="s">
        <v>19</v>
      </c>
      <c r="D66" s="2" t="s">
        <v>20</v>
      </c>
      <c r="E66" s="2">
        <v>1100.0999999999999</v>
      </c>
      <c r="F66" s="2">
        <v>5</v>
      </c>
      <c r="G66" s="2">
        <v>0.05</v>
      </c>
      <c r="H66" s="3">
        <v>45482</v>
      </c>
      <c r="I66" s="4">
        <v>261.27</v>
      </c>
      <c r="J66" s="14">
        <f t="shared" ref="J66:J129" ca="1" si="2">NOW()</f>
        <v>46275.421734837961</v>
      </c>
      <c r="K66" s="9">
        <f t="shared" ref="K66:K129" si="3">DATE(YEAR(H66),MONTH(H66),1)</f>
        <v>45474</v>
      </c>
    </row>
    <row r="67" spans="1:11" ht="15" thickBot="1" x14ac:dyDescent="0.35">
      <c r="A67" s="1" t="s">
        <v>66</v>
      </c>
      <c r="B67" s="2" t="s">
        <v>22</v>
      </c>
      <c r="C67" s="2" t="s">
        <v>23</v>
      </c>
      <c r="D67" s="2" t="s">
        <v>26</v>
      </c>
      <c r="E67" s="2">
        <v>1034.7</v>
      </c>
      <c r="F67" s="2">
        <v>15</v>
      </c>
      <c r="G67" s="2">
        <v>0.15</v>
      </c>
      <c r="H67" s="3">
        <v>45487</v>
      </c>
      <c r="I67" s="4">
        <v>307.82</v>
      </c>
      <c r="J67" s="14">
        <f t="shared" ca="1" si="2"/>
        <v>46275.421734837961</v>
      </c>
      <c r="K67" s="9">
        <f t="shared" si="3"/>
        <v>45474</v>
      </c>
    </row>
    <row r="68" spans="1:11" ht="15" thickBot="1" x14ac:dyDescent="0.35">
      <c r="A68" s="1" t="s">
        <v>64</v>
      </c>
      <c r="B68" s="2" t="s">
        <v>30</v>
      </c>
      <c r="C68" s="2" t="s">
        <v>19</v>
      </c>
      <c r="D68" s="2" t="s">
        <v>11</v>
      </c>
      <c r="E68" s="2">
        <v>876.44</v>
      </c>
      <c r="F68" s="2">
        <v>12</v>
      </c>
      <c r="G68" s="2">
        <v>0.05</v>
      </c>
      <c r="H68" s="3">
        <v>45488</v>
      </c>
      <c r="I68" s="4">
        <v>333.05</v>
      </c>
      <c r="J68" s="14">
        <f t="shared" ca="1" si="2"/>
        <v>46275.421734837961</v>
      </c>
      <c r="K68" s="9">
        <f t="shared" si="3"/>
        <v>45474</v>
      </c>
    </row>
    <row r="69" spans="1:11" ht="15" thickBot="1" x14ac:dyDescent="0.35">
      <c r="A69" s="1" t="s">
        <v>67</v>
      </c>
      <c r="B69" s="2" t="s">
        <v>54</v>
      </c>
      <c r="C69" s="2" t="s">
        <v>10</v>
      </c>
      <c r="D69" s="2" t="s">
        <v>26</v>
      </c>
      <c r="E69" s="2">
        <v>1371.34</v>
      </c>
      <c r="F69" s="2">
        <v>5</v>
      </c>
      <c r="G69" s="2">
        <v>0.05</v>
      </c>
      <c r="H69" s="3">
        <v>45488</v>
      </c>
      <c r="I69" s="4">
        <v>455.97</v>
      </c>
      <c r="J69" s="14">
        <f t="shared" ca="1" si="2"/>
        <v>46275.421734837961</v>
      </c>
      <c r="K69" s="9">
        <f t="shared" si="3"/>
        <v>45474</v>
      </c>
    </row>
    <row r="70" spans="1:11" ht="15" thickBot="1" x14ac:dyDescent="0.35">
      <c r="A70" s="1" t="s">
        <v>56</v>
      </c>
      <c r="B70" s="2" t="s">
        <v>46</v>
      </c>
      <c r="C70" s="2" t="s">
        <v>23</v>
      </c>
      <c r="D70" s="2" t="s">
        <v>20</v>
      </c>
      <c r="E70" s="2">
        <v>1020.26</v>
      </c>
      <c r="F70" s="2">
        <v>11</v>
      </c>
      <c r="G70" s="2">
        <v>0.05</v>
      </c>
      <c r="H70" s="3">
        <v>45494</v>
      </c>
      <c r="I70" s="4">
        <v>242.31</v>
      </c>
      <c r="J70" s="14">
        <f t="shared" ca="1" si="2"/>
        <v>46275.421734837961</v>
      </c>
      <c r="K70" s="9">
        <f t="shared" si="3"/>
        <v>45474</v>
      </c>
    </row>
    <row r="71" spans="1:11" ht="15" thickBot="1" x14ac:dyDescent="0.35">
      <c r="A71" s="1" t="s">
        <v>43</v>
      </c>
      <c r="B71" s="2" t="s">
        <v>9</v>
      </c>
      <c r="C71" s="2" t="s">
        <v>33</v>
      </c>
      <c r="D71" s="2" t="s">
        <v>38</v>
      </c>
      <c r="E71" s="2">
        <v>804.81</v>
      </c>
      <c r="F71" s="2">
        <v>1</v>
      </c>
      <c r="G71" s="2">
        <v>0.05</v>
      </c>
      <c r="H71" s="3">
        <v>45502</v>
      </c>
      <c r="I71" s="4">
        <v>344.06</v>
      </c>
      <c r="J71" s="14">
        <f t="shared" ca="1" si="2"/>
        <v>46275.421734837961</v>
      </c>
      <c r="K71" s="9">
        <f t="shared" si="3"/>
        <v>45474</v>
      </c>
    </row>
    <row r="72" spans="1:11" ht="15" thickBot="1" x14ac:dyDescent="0.35">
      <c r="A72" s="1" t="s">
        <v>21</v>
      </c>
      <c r="B72" s="2" t="s">
        <v>54</v>
      </c>
      <c r="C72" s="2" t="s">
        <v>33</v>
      </c>
      <c r="D72" s="2" t="s">
        <v>20</v>
      </c>
      <c r="E72" s="2">
        <v>608.66</v>
      </c>
      <c r="F72" s="2">
        <v>1</v>
      </c>
      <c r="G72" s="2">
        <v>0.05</v>
      </c>
      <c r="H72" s="3">
        <v>45503</v>
      </c>
      <c r="I72" s="4">
        <v>144.56</v>
      </c>
      <c r="J72" s="14">
        <f t="shared" ca="1" si="2"/>
        <v>46275.421734837961</v>
      </c>
      <c r="K72" s="9">
        <f t="shared" si="3"/>
        <v>45474</v>
      </c>
    </row>
    <row r="73" spans="1:11" ht="15" thickBot="1" x14ac:dyDescent="0.35">
      <c r="A73" s="1" t="s">
        <v>67</v>
      </c>
      <c r="B73" s="2" t="s">
        <v>68</v>
      </c>
      <c r="C73" s="2" t="s">
        <v>19</v>
      </c>
      <c r="D73" s="2" t="s">
        <v>38</v>
      </c>
      <c r="E73" s="2">
        <v>981.2</v>
      </c>
      <c r="F73" s="2">
        <v>19</v>
      </c>
      <c r="G73" s="2">
        <v>0</v>
      </c>
      <c r="H73" s="3">
        <v>45504</v>
      </c>
      <c r="I73" s="4">
        <v>441.54</v>
      </c>
      <c r="J73" s="14">
        <f t="shared" ca="1" si="2"/>
        <v>46275.421734837961</v>
      </c>
      <c r="K73" s="9">
        <f t="shared" si="3"/>
        <v>45474</v>
      </c>
    </row>
    <row r="74" spans="1:11" ht="15" thickBot="1" x14ac:dyDescent="0.35">
      <c r="A74" s="1" t="s">
        <v>69</v>
      </c>
      <c r="B74" s="2" t="s">
        <v>54</v>
      </c>
      <c r="C74" s="2" t="s">
        <v>17</v>
      </c>
      <c r="D74" s="2" t="s">
        <v>20</v>
      </c>
      <c r="E74" s="2">
        <v>539.77</v>
      </c>
      <c r="F74" s="2">
        <v>10</v>
      </c>
      <c r="G74" s="2">
        <v>0.15</v>
      </c>
      <c r="H74" s="3">
        <v>45509</v>
      </c>
      <c r="I74" s="4">
        <v>114.7</v>
      </c>
      <c r="J74" s="14">
        <f t="shared" ca="1" si="2"/>
        <v>46275.421734837961</v>
      </c>
      <c r="K74" s="9">
        <f t="shared" si="3"/>
        <v>45505</v>
      </c>
    </row>
    <row r="75" spans="1:11" ht="15" thickBot="1" x14ac:dyDescent="0.35">
      <c r="A75" s="1" t="s">
        <v>12</v>
      </c>
      <c r="B75" s="2" t="s">
        <v>70</v>
      </c>
      <c r="C75" s="2" t="s">
        <v>19</v>
      </c>
      <c r="D75" s="2" t="s">
        <v>11</v>
      </c>
      <c r="E75" s="2">
        <v>804.45</v>
      </c>
      <c r="F75" s="2">
        <v>5</v>
      </c>
      <c r="G75" s="2">
        <v>0.2</v>
      </c>
      <c r="H75" s="3">
        <v>45509</v>
      </c>
      <c r="I75" s="4">
        <v>257.42</v>
      </c>
      <c r="J75" s="14">
        <f t="shared" ca="1" si="2"/>
        <v>46275.421734837961</v>
      </c>
      <c r="K75" s="9">
        <f t="shared" si="3"/>
        <v>45505</v>
      </c>
    </row>
    <row r="76" spans="1:11" ht="15" thickBot="1" x14ac:dyDescent="0.35">
      <c r="A76" s="1" t="s">
        <v>69</v>
      </c>
      <c r="B76" s="2" t="s">
        <v>37</v>
      </c>
      <c r="C76" s="2" t="s">
        <v>10</v>
      </c>
      <c r="D76" s="2" t="s">
        <v>20</v>
      </c>
      <c r="E76" s="2">
        <v>1526.6</v>
      </c>
      <c r="F76" s="2">
        <v>13</v>
      </c>
      <c r="G76" s="2">
        <v>0.2</v>
      </c>
      <c r="H76" s="3">
        <v>45512</v>
      </c>
      <c r="I76" s="4">
        <v>305.32</v>
      </c>
      <c r="J76" s="14">
        <f t="shared" ca="1" si="2"/>
        <v>46275.421734837961</v>
      </c>
      <c r="K76" s="9">
        <f t="shared" si="3"/>
        <v>45505</v>
      </c>
    </row>
    <row r="77" spans="1:11" ht="15" thickBot="1" x14ac:dyDescent="0.35">
      <c r="A77" s="1" t="s">
        <v>12</v>
      </c>
      <c r="B77" s="2" t="s">
        <v>28</v>
      </c>
      <c r="C77" s="2" t="s">
        <v>10</v>
      </c>
      <c r="D77" s="2" t="s">
        <v>20</v>
      </c>
      <c r="E77" s="2">
        <v>1215.26</v>
      </c>
      <c r="F77" s="2">
        <v>5</v>
      </c>
      <c r="G77" s="2">
        <v>0.15</v>
      </c>
      <c r="H77" s="3">
        <v>45513</v>
      </c>
      <c r="I77" s="4">
        <v>258.24</v>
      </c>
      <c r="J77" s="14">
        <f t="shared" ca="1" si="2"/>
        <v>46275.421734837961</v>
      </c>
      <c r="K77" s="9">
        <f t="shared" si="3"/>
        <v>45505</v>
      </c>
    </row>
    <row r="78" spans="1:11" ht="15" thickBot="1" x14ac:dyDescent="0.35">
      <c r="A78" s="1" t="s">
        <v>18</v>
      </c>
      <c r="B78" s="2" t="s">
        <v>52</v>
      </c>
      <c r="C78" s="2" t="s">
        <v>33</v>
      </c>
      <c r="D78" s="2" t="s">
        <v>26</v>
      </c>
      <c r="E78" s="2">
        <v>1261.3399999999999</v>
      </c>
      <c r="F78" s="2">
        <v>3</v>
      </c>
      <c r="G78" s="2">
        <v>0</v>
      </c>
      <c r="H78" s="3">
        <v>45519</v>
      </c>
      <c r="I78" s="4">
        <v>441.47</v>
      </c>
      <c r="J78" s="14">
        <f t="shared" ca="1" si="2"/>
        <v>46275.421734837961</v>
      </c>
      <c r="K78" s="9">
        <f t="shared" si="3"/>
        <v>45505</v>
      </c>
    </row>
    <row r="79" spans="1:11" ht="15" thickBot="1" x14ac:dyDescent="0.35">
      <c r="A79" s="1" t="s">
        <v>71</v>
      </c>
      <c r="B79" s="2" t="s">
        <v>44</v>
      </c>
      <c r="C79" s="2" t="s">
        <v>23</v>
      </c>
      <c r="D79" s="2" t="s">
        <v>26</v>
      </c>
      <c r="E79" s="2">
        <v>518.07000000000005</v>
      </c>
      <c r="F79" s="2">
        <v>7</v>
      </c>
      <c r="G79" s="2">
        <v>0.05</v>
      </c>
      <c r="H79" s="3">
        <v>45522</v>
      </c>
      <c r="I79" s="4">
        <v>172.26</v>
      </c>
      <c r="J79" s="14">
        <f t="shared" ca="1" si="2"/>
        <v>46275.421734837961</v>
      </c>
      <c r="K79" s="9">
        <f t="shared" si="3"/>
        <v>45505</v>
      </c>
    </row>
    <row r="80" spans="1:11" ht="15" thickBot="1" x14ac:dyDescent="0.35">
      <c r="A80" s="1" t="s">
        <v>29</v>
      </c>
      <c r="B80" s="2" t="s">
        <v>28</v>
      </c>
      <c r="C80" s="2" t="s">
        <v>10</v>
      </c>
      <c r="D80" s="2" t="s">
        <v>38</v>
      </c>
      <c r="E80" s="2">
        <v>1111.3399999999999</v>
      </c>
      <c r="F80" s="2">
        <v>1</v>
      </c>
      <c r="G80" s="2">
        <v>0</v>
      </c>
      <c r="H80" s="3">
        <v>45523</v>
      </c>
      <c r="I80" s="4">
        <v>500.1</v>
      </c>
      <c r="J80" s="14">
        <f t="shared" ca="1" si="2"/>
        <v>46275.421734837961</v>
      </c>
      <c r="K80" s="9">
        <f t="shared" si="3"/>
        <v>45505</v>
      </c>
    </row>
    <row r="81" spans="1:11" ht="15" thickBot="1" x14ac:dyDescent="0.35">
      <c r="A81" s="1" t="s">
        <v>21</v>
      </c>
      <c r="B81" s="2" t="s">
        <v>30</v>
      </c>
      <c r="C81" s="2" t="s">
        <v>17</v>
      </c>
      <c r="D81" s="2" t="s">
        <v>14</v>
      </c>
      <c r="E81" s="2">
        <v>1291.47</v>
      </c>
      <c r="F81" s="2">
        <v>18</v>
      </c>
      <c r="G81" s="2">
        <v>0.1</v>
      </c>
      <c r="H81" s="3">
        <v>45526</v>
      </c>
      <c r="I81" s="4">
        <v>581.16</v>
      </c>
      <c r="J81" s="14">
        <f t="shared" ca="1" si="2"/>
        <v>46275.421734837961</v>
      </c>
      <c r="K81" s="9">
        <f t="shared" si="3"/>
        <v>45505</v>
      </c>
    </row>
    <row r="82" spans="1:11" ht="15" thickBot="1" x14ac:dyDescent="0.35">
      <c r="A82" s="1" t="s">
        <v>24</v>
      </c>
      <c r="B82" s="2" t="s">
        <v>54</v>
      </c>
      <c r="C82" s="2" t="s">
        <v>23</v>
      </c>
      <c r="D82" s="2" t="s">
        <v>11</v>
      </c>
      <c r="E82" s="2">
        <v>679.71</v>
      </c>
      <c r="F82" s="2">
        <v>19</v>
      </c>
      <c r="G82" s="2">
        <v>0</v>
      </c>
      <c r="H82" s="3">
        <v>45534</v>
      </c>
      <c r="I82" s="4">
        <v>271.88</v>
      </c>
      <c r="J82" s="14">
        <f t="shared" ca="1" si="2"/>
        <v>46275.421734837961</v>
      </c>
      <c r="K82" s="9">
        <f t="shared" si="3"/>
        <v>45505</v>
      </c>
    </row>
    <row r="83" spans="1:11" ht="15" thickBot="1" x14ac:dyDescent="0.35">
      <c r="A83" s="1" t="s">
        <v>67</v>
      </c>
      <c r="B83" s="2" t="s">
        <v>32</v>
      </c>
      <c r="C83" s="2" t="s">
        <v>17</v>
      </c>
      <c r="D83" s="2" t="s">
        <v>26</v>
      </c>
      <c r="E83" s="2">
        <v>1143.69</v>
      </c>
      <c r="F83" s="2">
        <v>17</v>
      </c>
      <c r="G83" s="2">
        <v>0</v>
      </c>
      <c r="H83" s="3">
        <v>45534</v>
      </c>
      <c r="I83" s="4">
        <v>400.29</v>
      </c>
      <c r="J83" s="14">
        <f t="shared" ca="1" si="2"/>
        <v>46275.421734837961</v>
      </c>
      <c r="K83" s="9">
        <f t="shared" si="3"/>
        <v>45505</v>
      </c>
    </row>
    <row r="84" spans="1:11" ht="15" thickBot="1" x14ac:dyDescent="0.35">
      <c r="A84" s="1" t="s">
        <v>51</v>
      </c>
      <c r="B84" s="2" t="s">
        <v>49</v>
      </c>
      <c r="C84" s="2" t="s">
        <v>33</v>
      </c>
      <c r="D84" s="2" t="s">
        <v>20</v>
      </c>
      <c r="E84" s="2">
        <v>790.08</v>
      </c>
      <c r="F84" s="2">
        <v>7</v>
      </c>
      <c r="G84" s="2">
        <v>0.1</v>
      </c>
      <c r="H84" s="3">
        <v>45536</v>
      </c>
      <c r="I84" s="4">
        <v>177.77</v>
      </c>
      <c r="J84" s="14">
        <f t="shared" ca="1" si="2"/>
        <v>46275.421734837961</v>
      </c>
      <c r="K84" s="9">
        <f t="shared" si="3"/>
        <v>45536</v>
      </c>
    </row>
    <row r="85" spans="1:11" ht="15" thickBot="1" x14ac:dyDescent="0.35">
      <c r="A85" s="1" t="s">
        <v>18</v>
      </c>
      <c r="B85" s="2" t="s">
        <v>47</v>
      </c>
      <c r="C85" s="2" t="s">
        <v>33</v>
      </c>
      <c r="D85" s="2" t="s">
        <v>11</v>
      </c>
      <c r="E85" s="2">
        <v>1070.68</v>
      </c>
      <c r="F85" s="2">
        <v>7</v>
      </c>
      <c r="G85" s="2">
        <v>0.05</v>
      </c>
      <c r="H85" s="3">
        <v>45536</v>
      </c>
      <c r="I85" s="4">
        <v>406.86</v>
      </c>
      <c r="J85" s="14">
        <f t="shared" ca="1" si="2"/>
        <v>46275.421734837961</v>
      </c>
      <c r="K85" s="9">
        <f t="shared" si="3"/>
        <v>45536</v>
      </c>
    </row>
    <row r="86" spans="1:11" ht="15" thickBot="1" x14ac:dyDescent="0.35">
      <c r="A86" s="1" t="s">
        <v>57</v>
      </c>
      <c r="B86" s="2" t="s">
        <v>35</v>
      </c>
      <c r="C86" s="2" t="s">
        <v>10</v>
      </c>
      <c r="D86" s="2" t="s">
        <v>14</v>
      </c>
      <c r="E86" s="2">
        <v>1168.8900000000001</v>
      </c>
      <c r="F86" s="2">
        <v>4</v>
      </c>
      <c r="G86" s="2">
        <v>0.1</v>
      </c>
      <c r="H86" s="3">
        <v>45544</v>
      </c>
      <c r="I86" s="4">
        <v>526</v>
      </c>
      <c r="J86" s="14">
        <f t="shared" ca="1" si="2"/>
        <v>46275.421734837961</v>
      </c>
      <c r="K86" s="9">
        <f t="shared" si="3"/>
        <v>45536</v>
      </c>
    </row>
    <row r="87" spans="1:11" ht="15" thickBot="1" x14ac:dyDescent="0.35">
      <c r="A87" s="1" t="s">
        <v>66</v>
      </c>
      <c r="B87" s="2" t="s">
        <v>9</v>
      </c>
      <c r="C87" s="2" t="s">
        <v>19</v>
      </c>
      <c r="D87" s="2" t="s">
        <v>20</v>
      </c>
      <c r="E87" s="2">
        <v>1335.87</v>
      </c>
      <c r="F87" s="2">
        <v>17</v>
      </c>
      <c r="G87" s="2">
        <v>0</v>
      </c>
      <c r="H87" s="3">
        <v>45544</v>
      </c>
      <c r="I87" s="4">
        <v>333.97</v>
      </c>
      <c r="J87" s="14">
        <f t="shared" ca="1" si="2"/>
        <v>46275.421734837961</v>
      </c>
      <c r="K87" s="9">
        <f t="shared" si="3"/>
        <v>45536</v>
      </c>
    </row>
    <row r="88" spans="1:11" ht="15" thickBot="1" x14ac:dyDescent="0.35">
      <c r="A88" s="1" t="s">
        <v>39</v>
      </c>
      <c r="B88" s="2" t="s">
        <v>54</v>
      </c>
      <c r="C88" s="2" t="s">
        <v>17</v>
      </c>
      <c r="D88" s="2" t="s">
        <v>26</v>
      </c>
      <c r="E88" s="2">
        <v>873.7</v>
      </c>
      <c r="F88" s="2">
        <v>9</v>
      </c>
      <c r="G88" s="2">
        <v>0</v>
      </c>
      <c r="H88" s="3">
        <v>45546</v>
      </c>
      <c r="I88" s="4">
        <v>305.8</v>
      </c>
      <c r="J88" s="14">
        <f t="shared" ca="1" si="2"/>
        <v>46275.421734837961</v>
      </c>
      <c r="K88" s="9">
        <f t="shared" si="3"/>
        <v>45536</v>
      </c>
    </row>
    <row r="89" spans="1:11" ht="15" thickBot="1" x14ac:dyDescent="0.35">
      <c r="A89" s="1" t="s">
        <v>71</v>
      </c>
      <c r="B89" s="2" t="s">
        <v>63</v>
      </c>
      <c r="C89" s="2" t="s">
        <v>10</v>
      </c>
      <c r="D89" s="2" t="s">
        <v>38</v>
      </c>
      <c r="E89" s="2">
        <v>1443.98</v>
      </c>
      <c r="F89" s="2">
        <v>19</v>
      </c>
      <c r="G89" s="2">
        <v>0</v>
      </c>
      <c r="H89" s="3">
        <v>45547</v>
      </c>
      <c r="I89" s="4">
        <v>649.79</v>
      </c>
      <c r="J89" s="14">
        <f t="shared" ca="1" si="2"/>
        <v>46275.421734837961</v>
      </c>
      <c r="K89" s="9">
        <f t="shared" si="3"/>
        <v>45536</v>
      </c>
    </row>
    <row r="90" spans="1:11" ht="15" thickBot="1" x14ac:dyDescent="0.35">
      <c r="A90" s="1" t="s">
        <v>39</v>
      </c>
      <c r="B90" s="2" t="s">
        <v>22</v>
      </c>
      <c r="C90" s="2" t="s">
        <v>17</v>
      </c>
      <c r="D90" s="2" t="s">
        <v>38</v>
      </c>
      <c r="E90" s="2">
        <v>1154.33</v>
      </c>
      <c r="F90" s="2">
        <v>11</v>
      </c>
      <c r="G90" s="2">
        <v>0.15</v>
      </c>
      <c r="H90" s="3">
        <v>45549</v>
      </c>
      <c r="I90" s="4">
        <v>441.53</v>
      </c>
      <c r="J90" s="14">
        <f t="shared" ca="1" si="2"/>
        <v>46275.421734837961</v>
      </c>
      <c r="K90" s="9">
        <f t="shared" si="3"/>
        <v>45536</v>
      </c>
    </row>
    <row r="91" spans="1:11" ht="15" thickBot="1" x14ac:dyDescent="0.35">
      <c r="A91" s="1" t="s">
        <v>48</v>
      </c>
      <c r="B91" s="2" t="s">
        <v>49</v>
      </c>
      <c r="C91" s="2" t="s">
        <v>19</v>
      </c>
      <c r="D91" s="2" t="s">
        <v>11</v>
      </c>
      <c r="E91" s="2">
        <v>1264.49</v>
      </c>
      <c r="F91" s="2">
        <v>16</v>
      </c>
      <c r="G91" s="2">
        <v>0.05</v>
      </c>
      <c r="H91" s="3">
        <v>45549</v>
      </c>
      <c r="I91" s="4">
        <v>480.51</v>
      </c>
      <c r="J91" s="14">
        <f t="shared" ca="1" si="2"/>
        <v>46275.421734837961</v>
      </c>
      <c r="K91" s="9">
        <f t="shared" si="3"/>
        <v>45536</v>
      </c>
    </row>
    <row r="92" spans="1:11" ht="15" thickBot="1" x14ac:dyDescent="0.35">
      <c r="A92" s="1" t="s">
        <v>24</v>
      </c>
      <c r="B92" s="2" t="s">
        <v>65</v>
      </c>
      <c r="C92" s="2" t="s">
        <v>10</v>
      </c>
      <c r="D92" s="2" t="s">
        <v>26</v>
      </c>
      <c r="E92" s="2">
        <v>1101.55</v>
      </c>
      <c r="F92" s="2">
        <v>4</v>
      </c>
      <c r="G92" s="2">
        <v>0.1</v>
      </c>
      <c r="H92" s="3">
        <v>45551</v>
      </c>
      <c r="I92" s="4">
        <v>346.99</v>
      </c>
      <c r="J92" s="14">
        <f t="shared" ca="1" si="2"/>
        <v>46275.421734837961</v>
      </c>
      <c r="K92" s="9">
        <f t="shared" si="3"/>
        <v>45536</v>
      </c>
    </row>
    <row r="93" spans="1:11" ht="15" thickBot="1" x14ac:dyDescent="0.35">
      <c r="A93" s="1" t="s">
        <v>72</v>
      </c>
      <c r="B93" s="2" t="s">
        <v>13</v>
      </c>
      <c r="C93" s="2" t="s">
        <v>19</v>
      </c>
      <c r="D93" s="2" t="s">
        <v>26</v>
      </c>
      <c r="E93" s="2">
        <v>727.73</v>
      </c>
      <c r="F93" s="2">
        <v>1</v>
      </c>
      <c r="G93" s="2">
        <v>0.1</v>
      </c>
      <c r="H93" s="3">
        <v>45552</v>
      </c>
      <c r="I93" s="4">
        <v>229.23</v>
      </c>
      <c r="J93" s="14">
        <f t="shared" ca="1" si="2"/>
        <v>46275.421734837961</v>
      </c>
      <c r="K93" s="9">
        <f t="shared" si="3"/>
        <v>45536</v>
      </c>
    </row>
    <row r="94" spans="1:11" ht="15" thickBot="1" x14ac:dyDescent="0.35">
      <c r="A94" s="1" t="s">
        <v>73</v>
      </c>
      <c r="B94" s="2" t="s">
        <v>37</v>
      </c>
      <c r="C94" s="2" t="s">
        <v>17</v>
      </c>
      <c r="D94" s="2" t="s">
        <v>38</v>
      </c>
      <c r="E94" s="2">
        <v>875.41</v>
      </c>
      <c r="F94" s="2">
        <v>13</v>
      </c>
      <c r="G94" s="2">
        <v>0.15</v>
      </c>
      <c r="H94" s="3">
        <v>45552</v>
      </c>
      <c r="I94" s="4">
        <v>334.84</v>
      </c>
      <c r="J94" s="14">
        <f t="shared" ca="1" si="2"/>
        <v>46275.421734837961</v>
      </c>
      <c r="K94" s="9">
        <f t="shared" si="3"/>
        <v>45536</v>
      </c>
    </row>
    <row r="95" spans="1:11" ht="15" thickBot="1" x14ac:dyDescent="0.35">
      <c r="A95" s="1" t="s">
        <v>66</v>
      </c>
      <c r="B95" s="2" t="s">
        <v>22</v>
      </c>
      <c r="C95" s="2" t="s">
        <v>10</v>
      </c>
      <c r="D95" s="2" t="s">
        <v>20</v>
      </c>
      <c r="E95" s="2">
        <v>1158.94</v>
      </c>
      <c r="F95" s="2">
        <v>19</v>
      </c>
      <c r="G95" s="2">
        <v>0.2</v>
      </c>
      <c r="H95" s="3">
        <v>45553</v>
      </c>
      <c r="I95" s="4">
        <v>231.79</v>
      </c>
      <c r="J95" s="14">
        <f t="shared" ca="1" si="2"/>
        <v>46275.421734837961</v>
      </c>
      <c r="K95" s="9">
        <f t="shared" si="3"/>
        <v>45536</v>
      </c>
    </row>
    <row r="96" spans="1:11" ht="15" thickBot="1" x14ac:dyDescent="0.35">
      <c r="A96" s="1" t="s">
        <v>74</v>
      </c>
      <c r="B96" s="2" t="s">
        <v>46</v>
      </c>
      <c r="C96" s="2" t="s">
        <v>19</v>
      </c>
      <c r="D96" s="2" t="s">
        <v>11</v>
      </c>
      <c r="E96" s="2">
        <v>966.3</v>
      </c>
      <c r="F96" s="2">
        <v>2</v>
      </c>
      <c r="G96" s="2">
        <v>0.15</v>
      </c>
      <c r="H96" s="3">
        <v>45557</v>
      </c>
      <c r="I96" s="4">
        <v>328.54</v>
      </c>
      <c r="J96" s="14">
        <f t="shared" ca="1" si="2"/>
        <v>46275.421734837961</v>
      </c>
      <c r="K96" s="9">
        <f t="shared" si="3"/>
        <v>45536</v>
      </c>
    </row>
    <row r="97" spans="1:11" ht="15" thickBot="1" x14ac:dyDescent="0.35">
      <c r="A97" s="1" t="s">
        <v>67</v>
      </c>
      <c r="B97" s="2" t="s">
        <v>16</v>
      </c>
      <c r="C97" s="2" t="s">
        <v>19</v>
      </c>
      <c r="D97" s="2" t="s">
        <v>11</v>
      </c>
      <c r="E97" s="2">
        <v>917.48</v>
      </c>
      <c r="F97" s="2">
        <v>6</v>
      </c>
      <c r="G97" s="2">
        <v>0</v>
      </c>
      <c r="H97" s="3">
        <v>45558</v>
      </c>
      <c r="I97" s="4">
        <v>366.99</v>
      </c>
      <c r="J97" s="14">
        <f t="shared" ca="1" si="2"/>
        <v>46275.421734837961</v>
      </c>
      <c r="K97" s="9">
        <f t="shared" si="3"/>
        <v>45536</v>
      </c>
    </row>
    <row r="98" spans="1:11" ht="15" thickBot="1" x14ac:dyDescent="0.35">
      <c r="A98" s="1" t="s">
        <v>40</v>
      </c>
      <c r="B98" s="2" t="s">
        <v>60</v>
      </c>
      <c r="C98" s="2" t="s">
        <v>10</v>
      </c>
      <c r="D98" s="2" t="s">
        <v>26</v>
      </c>
      <c r="E98" s="2">
        <v>1172.97</v>
      </c>
      <c r="F98" s="2">
        <v>7</v>
      </c>
      <c r="G98" s="2">
        <v>0.15</v>
      </c>
      <c r="H98" s="3">
        <v>45559</v>
      </c>
      <c r="I98" s="4">
        <v>348.96</v>
      </c>
      <c r="J98" s="14">
        <f t="shared" ca="1" si="2"/>
        <v>46275.421734837961</v>
      </c>
      <c r="K98" s="9">
        <f t="shared" si="3"/>
        <v>45536</v>
      </c>
    </row>
    <row r="99" spans="1:11" ht="15" thickBot="1" x14ac:dyDescent="0.35">
      <c r="A99" s="1" t="s">
        <v>56</v>
      </c>
      <c r="B99" s="2" t="s">
        <v>22</v>
      </c>
      <c r="C99" s="2" t="s">
        <v>23</v>
      </c>
      <c r="D99" s="2" t="s">
        <v>14</v>
      </c>
      <c r="E99" s="2">
        <v>1205.82</v>
      </c>
      <c r="F99" s="2">
        <v>11</v>
      </c>
      <c r="G99" s="2">
        <v>0.1</v>
      </c>
      <c r="H99" s="3">
        <v>45559</v>
      </c>
      <c r="I99" s="4">
        <v>542.62</v>
      </c>
      <c r="J99" s="14">
        <f t="shared" ca="1" si="2"/>
        <v>46275.421734837961</v>
      </c>
      <c r="K99" s="9">
        <f t="shared" si="3"/>
        <v>45536</v>
      </c>
    </row>
    <row r="100" spans="1:11" ht="15" thickBot="1" x14ac:dyDescent="0.35">
      <c r="A100" s="1" t="s">
        <v>15</v>
      </c>
      <c r="B100" s="2" t="s">
        <v>63</v>
      </c>
      <c r="C100" s="2" t="s">
        <v>10</v>
      </c>
      <c r="D100" s="2" t="s">
        <v>38</v>
      </c>
      <c r="E100" s="2">
        <v>826.93</v>
      </c>
      <c r="F100" s="2">
        <v>10</v>
      </c>
      <c r="G100" s="2">
        <v>0.2</v>
      </c>
      <c r="H100" s="3">
        <v>45564</v>
      </c>
      <c r="I100" s="4">
        <v>297.69</v>
      </c>
      <c r="J100" s="14">
        <f t="shared" ca="1" si="2"/>
        <v>46275.421734837961</v>
      </c>
      <c r="K100" s="9">
        <f t="shared" si="3"/>
        <v>45536</v>
      </c>
    </row>
    <row r="101" spans="1:11" ht="15" thickBot="1" x14ac:dyDescent="0.35">
      <c r="A101" s="1" t="s">
        <v>66</v>
      </c>
      <c r="B101" s="2" t="s">
        <v>22</v>
      </c>
      <c r="C101" s="2" t="s">
        <v>33</v>
      </c>
      <c r="D101" s="2" t="s">
        <v>14</v>
      </c>
      <c r="E101" s="2">
        <v>902.19</v>
      </c>
      <c r="F101" s="2">
        <v>12</v>
      </c>
      <c r="G101" s="2">
        <v>0</v>
      </c>
      <c r="H101" s="3">
        <v>45564</v>
      </c>
      <c r="I101" s="4">
        <v>451.1</v>
      </c>
      <c r="J101" s="14">
        <f t="shared" ca="1" si="2"/>
        <v>46275.421734837961</v>
      </c>
      <c r="K101" s="9">
        <f t="shared" si="3"/>
        <v>45536</v>
      </c>
    </row>
    <row r="102" spans="1:11" ht="15" thickBot="1" x14ac:dyDescent="0.35">
      <c r="A102" s="1" t="s">
        <v>73</v>
      </c>
      <c r="B102" s="2" t="s">
        <v>37</v>
      </c>
      <c r="C102" s="2" t="s">
        <v>23</v>
      </c>
      <c r="D102" s="2" t="s">
        <v>11</v>
      </c>
      <c r="E102" s="2">
        <v>585.97</v>
      </c>
      <c r="F102" s="2">
        <v>17</v>
      </c>
      <c r="G102" s="2">
        <v>0.1</v>
      </c>
      <c r="H102" s="3">
        <v>45565</v>
      </c>
      <c r="I102" s="4">
        <v>210.95</v>
      </c>
      <c r="J102" s="14">
        <f t="shared" ca="1" si="2"/>
        <v>46275.421734837961</v>
      </c>
      <c r="K102" s="9">
        <f t="shared" si="3"/>
        <v>45536</v>
      </c>
    </row>
    <row r="103" spans="1:11" ht="15" thickBot="1" x14ac:dyDescent="0.35">
      <c r="A103" s="1" t="s">
        <v>59</v>
      </c>
      <c r="B103" s="2" t="s">
        <v>25</v>
      </c>
      <c r="C103" s="2" t="s">
        <v>23</v>
      </c>
      <c r="D103" s="2" t="s">
        <v>14</v>
      </c>
      <c r="E103" s="2">
        <v>990.19</v>
      </c>
      <c r="F103" s="2">
        <v>8</v>
      </c>
      <c r="G103" s="2">
        <v>0.1</v>
      </c>
      <c r="H103" s="3">
        <v>45565</v>
      </c>
      <c r="I103" s="4">
        <v>445.59</v>
      </c>
      <c r="J103" s="14">
        <f t="shared" ca="1" si="2"/>
        <v>46275.421734837961</v>
      </c>
      <c r="K103" s="9">
        <f t="shared" si="3"/>
        <v>45536</v>
      </c>
    </row>
    <row r="104" spans="1:11" ht="15" thickBot="1" x14ac:dyDescent="0.35">
      <c r="A104" s="1" t="s">
        <v>43</v>
      </c>
      <c r="B104" s="2" t="s">
        <v>55</v>
      </c>
      <c r="C104" s="2" t="s">
        <v>33</v>
      </c>
      <c r="D104" s="2" t="s">
        <v>20</v>
      </c>
      <c r="E104" s="2">
        <v>1014.09</v>
      </c>
      <c r="F104" s="2">
        <v>13</v>
      </c>
      <c r="G104" s="2">
        <v>0.2</v>
      </c>
      <c r="H104" s="3">
        <v>45567</v>
      </c>
      <c r="I104" s="4">
        <v>202.82</v>
      </c>
      <c r="J104" s="14">
        <f t="shared" ca="1" si="2"/>
        <v>46275.421734837961</v>
      </c>
      <c r="K104" s="9">
        <f t="shared" si="3"/>
        <v>45566</v>
      </c>
    </row>
    <row r="105" spans="1:11" ht="15" thickBot="1" x14ac:dyDescent="0.35">
      <c r="A105" s="1" t="s">
        <v>12</v>
      </c>
      <c r="B105" s="2" t="s">
        <v>47</v>
      </c>
      <c r="C105" s="2" t="s">
        <v>23</v>
      </c>
      <c r="D105" s="2" t="s">
        <v>20</v>
      </c>
      <c r="E105" s="2">
        <v>925.29</v>
      </c>
      <c r="F105" s="2">
        <v>17</v>
      </c>
      <c r="G105" s="2">
        <v>0</v>
      </c>
      <c r="H105" s="3">
        <v>45570</v>
      </c>
      <c r="I105" s="4">
        <v>231.32</v>
      </c>
      <c r="J105" s="14">
        <f t="shared" ca="1" si="2"/>
        <v>46275.421734837961</v>
      </c>
      <c r="K105" s="9">
        <f t="shared" si="3"/>
        <v>45566</v>
      </c>
    </row>
    <row r="106" spans="1:11" ht="15" thickBot="1" x14ac:dyDescent="0.35">
      <c r="A106" s="1" t="s">
        <v>53</v>
      </c>
      <c r="B106" s="2" t="s">
        <v>46</v>
      </c>
      <c r="C106" s="2" t="s">
        <v>17</v>
      </c>
      <c r="D106" s="2" t="s">
        <v>26</v>
      </c>
      <c r="E106" s="2">
        <v>1286.54</v>
      </c>
      <c r="F106" s="2">
        <v>8</v>
      </c>
      <c r="G106" s="2">
        <v>0</v>
      </c>
      <c r="H106" s="3">
        <v>45575</v>
      </c>
      <c r="I106" s="4">
        <v>450.29</v>
      </c>
      <c r="J106" s="14">
        <f t="shared" ca="1" si="2"/>
        <v>46275.421734837961</v>
      </c>
      <c r="K106" s="9">
        <f t="shared" si="3"/>
        <v>45566</v>
      </c>
    </row>
    <row r="107" spans="1:11" ht="15" thickBot="1" x14ac:dyDescent="0.35">
      <c r="A107" s="1" t="s">
        <v>36</v>
      </c>
      <c r="B107" s="2" t="s">
        <v>63</v>
      </c>
      <c r="C107" s="2" t="s">
        <v>19</v>
      </c>
      <c r="D107" s="2" t="s">
        <v>11</v>
      </c>
      <c r="E107" s="2">
        <v>961.62</v>
      </c>
      <c r="F107" s="2">
        <v>8</v>
      </c>
      <c r="G107" s="2">
        <v>0.2</v>
      </c>
      <c r="H107" s="3">
        <v>45577</v>
      </c>
      <c r="I107" s="4">
        <v>307.72000000000003</v>
      </c>
      <c r="J107" s="14">
        <f t="shared" ca="1" si="2"/>
        <v>46275.421734837961</v>
      </c>
      <c r="K107" s="9">
        <f t="shared" si="3"/>
        <v>45566</v>
      </c>
    </row>
    <row r="108" spans="1:11" ht="15" thickBot="1" x14ac:dyDescent="0.35">
      <c r="A108" s="1" t="s">
        <v>43</v>
      </c>
      <c r="B108" s="2" t="s">
        <v>22</v>
      </c>
      <c r="C108" s="2" t="s">
        <v>17</v>
      </c>
      <c r="D108" s="2" t="s">
        <v>11</v>
      </c>
      <c r="E108" s="2">
        <v>1081.1400000000001</v>
      </c>
      <c r="F108" s="2">
        <v>19</v>
      </c>
      <c r="G108" s="2">
        <v>0.15</v>
      </c>
      <c r="H108" s="3">
        <v>45577</v>
      </c>
      <c r="I108" s="4">
        <v>367.59</v>
      </c>
      <c r="J108" s="14">
        <f t="shared" ca="1" si="2"/>
        <v>46275.421734837961</v>
      </c>
      <c r="K108" s="9">
        <f t="shared" si="3"/>
        <v>45566</v>
      </c>
    </row>
    <row r="109" spans="1:11" ht="15" thickBot="1" x14ac:dyDescent="0.35">
      <c r="A109" s="1" t="s">
        <v>57</v>
      </c>
      <c r="B109" s="2" t="s">
        <v>22</v>
      </c>
      <c r="C109" s="2" t="s">
        <v>10</v>
      </c>
      <c r="D109" s="2" t="s">
        <v>14</v>
      </c>
      <c r="E109" s="2">
        <v>1923.66</v>
      </c>
      <c r="F109" s="2">
        <v>9</v>
      </c>
      <c r="G109" s="2">
        <v>0.2</v>
      </c>
      <c r="H109" s="3">
        <v>45580</v>
      </c>
      <c r="I109" s="4">
        <v>769.46</v>
      </c>
      <c r="J109" s="14">
        <f t="shared" ca="1" si="2"/>
        <v>46275.421734837961</v>
      </c>
      <c r="K109" s="9">
        <f t="shared" si="3"/>
        <v>45566</v>
      </c>
    </row>
    <row r="110" spans="1:11" ht="15" thickBot="1" x14ac:dyDescent="0.35">
      <c r="A110" s="1" t="s">
        <v>53</v>
      </c>
      <c r="B110" s="2" t="s">
        <v>65</v>
      </c>
      <c r="C110" s="2" t="s">
        <v>33</v>
      </c>
      <c r="D110" s="2" t="s">
        <v>14</v>
      </c>
      <c r="E110" s="2">
        <v>728.71</v>
      </c>
      <c r="F110" s="2">
        <v>14</v>
      </c>
      <c r="G110" s="2">
        <v>0.1</v>
      </c>
      <c r="H110" s="3">
        <v>45581</v>
      </c>
      <c r="I110" s="4">
        <v>327.92</v>
      </c>
      <c r="J110" s="14">
        <f t="shared" ca="1" si="2"/>
        <v>46275.421734837961</v>
      </c>
      <c r="K110" s="9">
        <f t="shared" si="3"/>
        <v>45566</v>
      </c>
    </row>
    <row r="111" spans="1:11" ht="15" thickBot="1" x14ac:dyDescent="0.35">
      <c r="A111" s="1" t="s">
        <v>8</v>
      </c>
      <c r="B111" s="2" t="s">
        <v>32</v>
      </c>
      <c r="C111" s="2" t="s">
        <v>33</v>
      </c>
      <c r="D111" s="2" t="s">
        <v>14</v>
      </c>
      <c r="E111" s="2">
        <v>1301.8900000000001</v>
      </c>
      <c r="F111" s="2">
        <v>7</v>
      </c>
      <c r="G111" s="2">
        <v>0.15</v>
      </c>
      <c r="H111" s="3">
        <v>45581</v>
      </c>
      <c r="I111" s="4">
        <v>553.29999999999995</v>
      </c>
      <c r="J111" s="14">
        <f t="shared" ca="1" si="2"/>
        <v>46275.421734837961</v>
      </c>
      <c r="K111" s="9">
        <f t="shared" si="3"/>
        <v>45566</v>
      </c>
    </row>
    <row r="112" spans="1:11" ht="15" thickBot="1" x14ac:dyDescent="0.35">
      <c r="A112" s="1" t="s">
        <v>69</v>
      </c>
      <c r="B112" s="2" t="s">
        <v>65</v>
      </c>
      <c r="C112" s="2" t="s">
        <v>17</v>
      </c>
      <c r="D112" s="2" t="s">
        <v>11</v>
      </c>
      <c r="E112" s="2">
        <v>980.18</v>
      </c>
      <c r="F112" s="2">
        <v>16</v>
      </c>
      <c r="G112" s="2">
        <v>0.1</v>
      </c>
      <c r="H112" s="3">
        <v>45582</v>
      </c>
      <c r="I112" s="4">
        <v>352.86</v>
      </c>
      <c r="J112" s="14">
        <f t="shared" ca="1" si="2"/>
        <v>46275.421734837961</v>
      </c>
      <c r="K112" s="9">
        <f t="shared" si="3"/>
        <v>45566</v>
      </c>
    </row>
    <row r="113" spans="1:11" ht="15" thickBot="1" x14ac:dyDescent="0.35">
      <c r="A113" s="1" t="s">
        <v>73</v>
      </c>
      <c r="B113" s="2" t="s">
        <v>22</v>
      </c>
      <c r="C113" s="2" t="s">
        <v>10</v>
      </c>
      <c r="D113" s="2" t="s">
        <v>14</v>
      </c>
      <c r="E113" s="2">
        <v>697.57</v>
      </c>
      <c r="F113" s="2">
        <v>17</v>
      </c>
      <c r="G113" s="2">
        <v>0.1</v>
      </c>
      <c r="H113" s="3">
        <v>45584</v>
      </c>
      <c r="I113" s="4">
        <v>313.91000000000003</v>
      </c>
      <c r="J113" s="14">
        <f t="shared" ca="1" si="2"/>
        <v>46275.421734837961</v>
      </c>
      <c r="K113" s="9">
        <f t="shared" si="3"/>
        <v>45566</v>
      </c>
    </row>
    <row r="114" spans="1:11" ht="15" thickBot="1" x14ac:dyDescent="0.35">
      <c r="A114" s="1" t="s">
        <v>45</v>
      </c>
      <c r="B114" s="2" t="s">
        <v>70</v>
      </c>
      <c r="C114" s="2" t="s">
        <v>10</v>
      </c>
      <c r="D114" s="2" t="s">
        <v>26</v>
      </c>
      <c r="E114" s="2">
        <v>1193.6099999999999</v>
      </c>
      <c r="F114" s="2">
        <v>1</v>
      </c>
      <c r="G114" s="2">
        <v>0.15</v>
      </c>
      <c r="H114" s="3">
        <v>45584</v>
      </c>
      <c r="I114" s="4">
        <v>355.1</v>
      </c>
      <c r="J114" s="14">
        <f t="shared" ca="1" si="2"/>
        <v>46275.421734837961</v>
      </c>
      <c r="K114" s="9">
        <f t="shared" si="3"/>
        <v>45566</v>
      </c>
    </row>
    <row r="115" spans="1:11" ht="15" thickBot="1" x14ac:dyDescent="0.35">
      <c r="A115" s="1" t="s">
        <v>31</v>
      </c>
      <c r="B115" s="2" t="s">
        <v>37</v>
      </c>
      <c r="C115" s="2" t="s">
        <v>19</v>
      </c>
      <c r="D115" s="2" t="s">
        <v>20</v>
      </c>
      <c r="E115" s="2">
        <v>771.02</v>
      </c>
      <c r="F115" s="2">
        <v>1</v>
      </c>
      <c r="G115" s="2">
        <v>0</v>
      </c>
      <c r="H115" s="3">
        <v>45585</v>
      </c>
      <c r="I115" s="4">
        <v>192.76</v>
      </c>
      <c r="J115" s="14">
        <f t="shared" ca="1" si="2"/>
        <v>46275.421734837961</v>
      </c>
      <c r="K115" s="9">
        <f t="shared" si="3"/>
        <v>45566</v>
      </c>
    </row>
    <row r="116" spans="1:11" ht="15" thickBot="1" x14ac:dyDescent="0.35">
      <c r="A116" s="1" t="s">
        <v>66</v>
      </c>
      <c r="B116" s="2" t="s">
        <v>68</v>
      </c>
      <c r="C116" s="2" t="s">
        <v>23</v>
      </c>
      <c r="D116" s="2" t="s">
        <v>14</v>
      </c>
      <c r="E116" s="2">
        <v>661.09</v>
      </c>
      <c r="F116" s="2">
        <v>1</v>
      </c>
      <c r="G116" s="2">
        <v>0.2</v>
      </c>
      <c r="H116" s="3">
        <v>45593</v>
      </c>
      <c r="I116" s="4">
        <v>264.44</v>
      </c>
      <c r="J116" s="14">
        <f t="shared" ca="1" si="2"/>
        <v>46275.421734837961</v>
      </c>
      <c r="K116" s="9">
        <f t="shared" si="3"/>
        <v>45566</v>
      </c>
    </row>
    <row r="117" spans="1:11" ht="15" thickBot="1" x14ac:dyDescent="0.35">
      <c r="A117" s="1" t="s">
        <v>12</v>
      </c>
      <c r="B117" s="2" t="s">
        <v>54</v>
      </c>
      <c r="C117" s="2" t="s">
        <v>10</v>
      </c>
      <c r="D117" s="2" t="s">
        <v>20</v>
      </c>
      <c r="E117" s="2">
        <v>688.83</v>
      </c>
      <c r="F117" s="2">
        <v>15</v>
      </c>
      <c r="G117" s="2">
        <v>0</v>
      </c>
      <c r="H117" s="3">
        <v>45595</v>
      </c>
      <c r="I117" s="4">
        <v>172.21</v>
      </c>
      <c r="J117" s="14">
        <f t="shared" ca="1" si="2"/>
        <v>46275.421734837961</v>
      </c>
      <c r="K117" s="9">
        <f t="shared" si="3"/>
        <v>45566</v>
      </c>
    </row>
    <row r="118" spans="1:11" ht="15" thickBot="1" x14ac:dyDescent="0.35">
      <c r="A118" s="1" t="s">
        <v>72</v>
      </c>
      <c r="B118" s="2" t="s">
        <v>28</v>
      </c>
      <c r="C118" s="2" t="s">
        <v>33</v>
      </c>
      <c r="D118" s="2" t="s">
        <v>11</v>
      </c>
      <c r="E118" s="2">
        <v>1249.0999999999999</v>
      </c>
      <c r="F118" s="2">
        <v>4</v>
      </c>
      <c r="G118" s="2">
        <v>0.05</v>
      </c>
      <c r="H118" s="3">
        <v>45597</v>
      </c>
      <c r="I118" s="4">
        <v>474.66</v>
      </c>
      <c r="J118" s="14">
        <f t="shared" ca="1" si="2"/>
        <v>46275.421734837961</v>
      </c>
      <c r="K118" s="9">
        <f t="shared" si="3"/>
        <v>45597</v>
      </c>
    </row>
    <row r="119" spans="1:11" ht="15" thickBot="1" x14ac:dyDescent="0.35">
      <c r="A119" s="1" t="s">
        <v>43</v>
      </c>
      <c r="B119" s="2" t="s">
        <v>22</v>
      </c>
      <c r="C119" s="2" t="s">
        <v>17</v>
      </c>
      <c r="D119" s="2" t="s">
        <v>38</v>
      </c>
      <c r="E119" s="2">
        <v>1014.22</v>
      </c>
      <c r="F119" s="2">
        <v>14</v>
      </c>
      <c r="G119" s="2">
        <v>0.05</v>
      </c>
      <c r="H119" s="3">
        <v>45599</v>
      </c>
      <c r="I119" s="4">
        <v>433.58</v>
      </c>
      <c r="J119" s="14">
        <f t="shared" ca="1" si="2"/>
        <v>46275.421734837961</v>
      </c>
      <c r="K119" s="9">
        <f t="shared" si="3"/>
        <v>45597</v>
      </c>
    </row>
    <row r="120" spans="1:11" ht="15" thickBot="1" x14ac:dyDescent="0.35">
      <c r="A120" s="1" t="s">
        <v>53</v>
      </c>
      <c r="B120" s="2" t="s">
        <v>47</v>
      </c>
      <c r="C120" s="2" t="s">
        <v>17</v>
      </c>
      <c r="D120" s="2" t="s">
        <v>11</v>
      </c>
      <c r="E120" s="2">
        <v>1010.58</v>
      </c>
      <c r="F120" s="2">
        <v>2</v>
      </c>
      <c r="G120" s="2">
        <v>0.15</v>
      </c>
      <c r="H120" s="3">
        <v>45605</v>
      </c>
      <c r="I120" s="4">
        <v>343.6</v>
      </c>
      <c r="J120" s="14">
        <f t="shared" ca="1" si="2"/>
        <v>46275.421734837961</v>
      </c>
      <c r="K120" s="9">
        <f t="shared" si="3"/>
        <v>45597</v>
      </c>
    </row>
    <row r="121" spans="1:11" ht="15" thickBot="1" x14ac:dyDescent="0.35">
      <c r="A121" s="1" t="s">
        <v>29</v>
      </c>
      <c r="B121" s="2" t="s">
        <v>58</v>
      </c>
      <c r="C121" s="2" t="s">
        <v>23</v>
      </c>
      <c r="D121" s="2" t="s">
        <v>26</v>
      </c>
      <c r="E121" s="2">
        <v>957.29</v>
      </c>
      <c r="F121" s="2">
        <v>4</v>
      </c>
      <c r="G121" s="2">
        <v>0.05</v>
      </c>
      <c r="H121" s="3">
        <v>45605</v>
      </c>
      <c r="I121" s="4">
        <v>318.3</v>
      </c>
      <c r="J121" s="14">
        <f t="shared" ca="1" si="2"/>
        <v>46275.421734837961</v>
      </c>
      <c r="K121" s="9">
        <f t="shared" si="3"/>
        <v>45597</v>
      </c>
    </row>
    <row r="122" spans="1:11" ht="15" thickBot="1" x14ac:dyDescent="0.35">
      <c r="A122" s="1" t="s">
        <v>27</v>
      </c>
      <c r="B122" s="2" t="s">
        <v>44</v>
      </c>
      <c r="C122" s="2" t="s">
        <v>23</v>
      </c>
      <c r="D122" s="2" t="s">
        <v>26</v>
      </c>
      <c r="E122" s="2">
        <v>1077.92</v>
      </c>
      <c r="F122" s="2">
        <v>3</v>
      </c>
      <c r="G122" s="2">
        <v>0.05</v>
      </c>
      <c r="H122" s="3">
        <v>45608</v>
      </c>
      <c r="I122" s="4">
        <v>358.41</v>
      </c>
      <c r="J122" s="14">
        <f t="shared" ca="1" si="2"/>
        <v>46275.421734837961</v>
      </c>
      <c r="K122" s="9">
        <f t="shared" si="3"/>
        <v>45597</v>
      </c>
    </row>
    <row r="123" spans="1:11" ht="15" thickBot="1" x14ac:dyDescent="0.35">
      <c r="A123" s="1" t="s">
        <v>51</v>
      </c>
      <c r="B123" s="2" t="s">
        <v>49</v>
      </c>
      <c r="C123" s="2" t="s">
        <v>19</v>
      </c>
      <c r="D123" s="2" t="s">
        <v>14</v>
      </c>
      <c r="E123" s="2">
        <v>1163.01</v>
      </c>
      <c r="F123" s="2">
        <v>5</v>
      </c>
      <c r="G123" s="2">
        <v>0</v>
      </c>
      <c r="H123" s="3">
        <v>45611</v>
      </c>
      <c r="I123" s="4">
        <v>581.5</v>
      </c>
      <c r="J123" s="14">
        <f t="shared" ca="1" si="2"/>
        <v>46275.421734837961</v>
      </c>
      <c r="K123" s="9">
        <f t="shared" si="3"/>
        <v>45597</v>
      </c>
    </row>
    <row r="124" spans="1:11" ht="15" thickBot="1" x14ac:dyDescent="0.35">
      <c r="A124" s="1" t="s">
        <v>53</v>
      </c>
      <c r="B124" s="2" t="s">
        <v>44</v>
      </c>
      <c r="C124" s="2" t="s">
        <v>17</v>
      </c>
      <c r="D124" s="2" t="s">
        <v>38</v>
      </c>
      <c r="E124" s="2">
        <v>1014.56</v>
      </c>
      <c r="F124" s="2">
        <v>10</v>
      </c>
      <c r="G124" s="2">
        <v>0.1</v>
      </c>
      <c r="H124" s="3">
        <v>45612</v>
      </c>
      <c r="I124" s="4">
        <v>410.9</v>
      </c>
      <c r="J124" s="14">
        <f t="shared" ca="1" si="2"/>
        <v>46275.421734837961</v>
      </c>
      <c r="K124" s="9">
        <f t="shared" si="3"/>
        <v>45597</v>
      </c>
    </row>
    <row r="125" spans="1:11" ht="15" thickBot="1" x14ac:dyDescent="0.35">
      <c r="A125" s="1" t="s">
        <v>8</v>
      </c>
      <c r="B125" s="2" t="s">
        <v>16</v>
      </c>
      <c r="C125" s="2" t="s">
        <v>19</v>
      </c>
      <c r="D125" s="2" t="s">
        <v>20</v>
      </c>
      <c r="E125" s="2">
        <v>718.04</v>
      </c>
      <c r="F125" s="2">
        <v>14</v>
      </c>
      <c r="G125" s="2">
        <v>0</v>
      </c>
      <c r="H125" s="3">
        <v>45613</v>
      </c>
      <c r="I125" s="4">
        <v>179.51</v>
      </c>
      <c r="J125" s="14">
        <f t="shared" ca="1" si="2"/>
        <v>46275.421734837961</v>
      </c>
      <c r="K125" s="9">
        <f t="shared" si="3"/>
        <v>45597</v>
      </c>
    </row>
    <row r="126" spans="1:11" ht="15" thickBot="1" x14ac:dyDescent="0.35">
      <c r="A126" s="1" t="s">
        <v>71</v>
      </c>
      <c r="B126" s="2" t="s">
        <v>16</v>
      </c>
      <c r="C126" s="2" t="s">
        <v>33</v>
      </c>
      <c r="D126" s="2" t="s">
        <v>14</v>
      </c>
      <c r="E126" s="2">
        <v>1277.8499999999999</v>
      </c>
      <c r="F126" s="2">
        <v>18</v>
      </c>
      <c r="G126" s="2">
        <v>0.2</v>
      </c>
      <c r="H126" s="3">
        <v>45613</v>
      </c>
      <c r="I126" s="4">
        <v>511.14</v>
      </c>
      <c r="J126" s="14">
        <f t="shared" ca="1" si="2"/>
        <v>46275.421734837961</v>
      </c>
      <c r="K126" s="9">
        <f t="shared" si="3"/>
        <v>45597</v>
      </c>
    </row>
    <row r="127" spans="1:11" ht="15" thickBot="1" x14ac:dyDescent="0.35">
      <c r="A127" s="1" t="s">
        <v>69</v>
      </c>
      <c r="B127" s="2" t="s">
        <v>22</v>
      </c>
      <c r="C127" s="2" t="s">
        <v>23</v>
      </c>
      <c r="D127" s="2" t="s">
        <v>20</v>
      </c>
      <c r="E127" s="2">
        <v>706.73</v>
      </c>
      <c r="F127" s="2">
        <v>1</v>
      </c>
      <c r="G127" s="2">
        <v>0.15</v>
      </c>
      <c r="H127" s="3">
        <v>45613</v>
      </c>
      <c r="I127" s="4">
        <v>150.18</v>
      </c>
      <c r="J127" s="14">
        <f t="shared" ca="1" si="2"/>
        <v>46275.421734837961</v>
      </c>
      <c r="K127" s="9">
        <f t="shared" si="3"/>
        <v>45597</v>
      </c>
    </row>
    <row r="128" spans="1:11" ht="15" thickBot="1" x14ac:dyDescent="0.35">
      <c r="A128" s="1" t="s">
        <v>64</v>
      </c>
      <c r="B128" s="2" t="s">
        <v>49</v>
      </c>
      <c r="C128" s="2" t="s">
        <v>17</v>
      </c>
      <c r="D128" s="2" t="s">
        <v>20</v>
      </c>
      <c r="E128" s="2">
        <v>1410.59</v>
      </c>
      <c r="F128" s="2">
        <v>15</v>
      </c>
      <c r="G128" s="2">
        <v>0</v>
      </c>
      <c r="H128" s="3">
        <v>45615</v>
      </c>
      <c r="I128" s="4">
        <v>352.65</v>
      </c>
      <c r="J128" s="14">
        <f t="shared" ca="1" si="2"/>
        <v>46275.421734837961</v>
      </c>
      <c r="K128" s="9">
        <f t="shared" si="3"/>
        <v>45597</v>
      </c>
    </row>
    <row r="129" spans="1:11" ht="15" thickBot="1" x14ac:dyDescent="0.35">
      <c r="A129" s="1" t="s">
        <v>31</v>
      </c>
      <c r="B129" s="2" t="s">
        <v>60</v>
      </c>
      <c r="C129" s="2" t="s">
        <v>19</v>
      </c>
      <c r="D129" s="2" t="s">
        <v>26</v>
      </c>
      <c r="E129" s="2">
        <v>1350.33</v>
      </c>
      <c r="F129" s="2">
        <v>10</v>
      </c>
      <c r="G129" s="2">
        <v>0</v>
      </c>
      <c r="H129" s="3">
        <v>45615</v>
      </c>
      <c r="I129" s="4">
        <v>472.62</v>
      </c>
      <c r="J129" s="14">
        <f t="shared" ca="1" si="2"/>
        <v>46275.421734837961</v>
      </c>
      <c r="K129" s="9">
        <f t="shared" si="3"/>
        <v>45597</v>
      </c>
    </row>
    <row r="130" spans="1:11" ht="15" thickBot="1" x14ac:dyDescent="0.35">
      <c r="A130" s="1" t="s">
        <v>40</v>
      </c>
      <c r="B130" s="2" t="s">
        <v>44</v>
      </c>
      <c r="C130" s="2" t="s">
        <v>17</v>
      </c>
      <c r="D130" s="2" t="s">
        <v>20</v>
      </c>
      <c r="E130" s="2">
        <v>919.18</v>
      </c>
      <c r="F130" s="2">
        <v>4</v>
      </c>
      <c r="G130" s="2">
        <v>0.15</v>
      </c>
      <c r="H130" s="3">
        <v>45615</v>
      </c>
      <c r="I130" s="4">
        <v>195.33</v>
      </c>
      <c r="J130" s="14">
        <f t="shared" ref="J130:J193" ca="1" si="4">NOW()</f>
        <v>46275.421734837961</v>
      </c>
      <c r="K130" s="9">
        <f t="shared" ref="K130:K193" si="5">DATE(YEAR(H130),MONTH(H130),1)</f>
        <v>45597</v>
      </c>
    </row>
    <row r="131" spans="1:11" ht="15" thickBot="1" x14ac:dyDescent="0.35">
      <c r="A131" s="1" t="s">
        <v>73</v>
      </c>
      <c r="B131" s="2" t="s">
        <v>22</v>
      </c>
      <c r="C131" s="2" t="s">
        <v>10</v>
      </c>
      <c r="D131" s="2" t="s">
        <v>20</v>
      </c>
      <c r="E131" s="2">
        <v>258.51</v>
      </c>
      <c r="F131" s="2">
        <v>19</v>
      </c>
      <c r="G131" s="2">
        <v>0</v>
      </c>
      <c r="H131" s="3">
        <v>45616</v>
      </c>
      <c r="I131" s="4">
        <v>64.63</v>
      </c>
      <c r="J131" s="14">
        <f t="shared" ca="1" si="4"/>
        <v>46275.421734837961</v>
      </c>
      <c r="K131" s="9">
        <f t="shared" si="5"/>
        <v>45597</v>
      </c>
    </row>
    <row r="132" spans="1:11" ht="15" thickBot="1" x14ac:dyDescent="0.35">
      <c r="A132" s="1" t="s">
        <v>62</v>
      </c>
      <c r="B132" s="2" t="s">
        <v>60</v>
      </c>
      <c r="C132" s="2" t="s">
        <v>17</v>
      </c>
      <c r="D132" s="2" t="s">
        <v>11</v>
      </c>
      <c r="E132" s="2">
        <v>1213.48</v>
      </c>
      <c r="F132" s="2">
        <v>5</v>
      </c>
      <c r="G132" s="2">
        <v>0.05</v>
      </c>
      <c r="H132" s="3">
        <v>45616</v>
      </c>
      <c r="I132" s="4">
        <v>461.12</v>
      </c>
      <c r="J132" s="14">
        <f t="shared" ca="1" si="4"/>
        <v>46275.421734837961</v>
      </c>
      <c r="K132" s="9">
        <f t="shared" si="5"/>
        <v>45597</v>
      </c>
    </row>
    <row r="133" spans="1:11" ht="15" thickBot="1" x14ac:dyDescent="0.35">
      <c r="A133" s="1" t="s">
        <v>56</v>
      </c>
      <c r="B133" s="2" t="s">
        <v>37</v>
      </c>
      <c r="C133" s="2" t="s">
        <v>33</v>
      </c>
      <c r="D133" s="2" t="s">
        <v>11</v>
      </c>
      <c r="E133" s="2">
        <v>1150.28</v>
      </c>
      <c r="F133" s="2">
        <v>8</v>
      </c>
      <c r="G133" s="2">
        <v>0.05</v>
      </c>
      <c r="H133" s="3">
        <v>45622</v>
      </c>
      <c r="I133" s="4">
        <v>437.11</v>
      </c>
      <c r="J133" s="14">
        <f t="shared" ca="1" si="4"/>
        <v>46275.421734837961</v>
      </c>
      <c r="K133" s="9">
        <f t="shared" si="5"/>
        <v>45597</v>
      </c>
    </row>
    <row r="134" spans="1:11" ht="15" thickBot="1" x14ac:dyDescent="0.35">
      <c r="A134" s="1" t="s">
        <v>36</v>
      </c>
      <c r="B134" s="2" t="s">
        <v>70</v>
      </c>
      <c r="C134" s="2" t="s">
        <v>19</v>
      </c>
      <c r="D134" s="2" t="s">
        <v>26</v>
      </c>
      <c r="E134" s="2">
        <v>853.86</v>
      </c>
      <c r="F134" s="2">
        <v>8</v>
      </c>
      <c r="G134" s="2">
        <v>0.1</v>
      </c>
      <c r="H134" s="3">
        <v>45622</v>
      </c>
      <c r="I134" s="4">
        <v>268.97000000000003</v>
      </c>
      <c r="J134" s="14">
        <f t="shared" ca="1" si="4"/>
        <v>46275.421734837961</v>
      </c>
      <c r="K134" s="9">
        <f t="shared" si="5"/>
        <v>45597</v>
      </c>
    </row>
    <row r="135" spans="1:11" ht="15" thickBot="1" x14ac:dyDescent="0.35">
      <c r="A135" s="1" t="s">
        <v>74</v>
      </c>
      <c r="B135" s="2" t="s">
        <v>44</v>
      </c>
      <c r="C135" s="2" t="s">
        <v>19</v>
      </c>
      <c r="D135" s="2" t="s">
        <v>20</v>
      </c>
      <c r="E135" s="2">
        <v>1061.04</v>
      </c>
      <c r="F135" s="2">
        <v>1</v>
      </c>
      <c r="G135" s="2">
        <v>0</v>
      </c>
      <c r="H135" s="3">
        <v>45624</v>
      </c>
      <c r="I135" s="4">
        <v>265.26</v>
      </c>
      <c r="J135" s="14">
        <f t="shared" ca="1" si="4"/>
        <v>46275.421734837961</v>
      </c>
      <c r="K135" s="9">
        <f t="shared" si="5"/>
        <v>45597</v>
      </c>
    </row>
    <row r="136" spans="1:11" ht="15" thickBot="1" x14ac:dyDescent="0.35">
      <c r="A136" s="1" t="s">
        <v>27</v>
      </c>
      <c r="B136" s="2" t="s">
        <v>42</v>
      </c>
      <c r="C136" s="2" t="s">
        <v>10</v>
      </c>
      <c r="D136" s="2" t="s">
        <v>20</v>
      </c>
      <c r="E136" s="2">
        <v>894.55</v>
      </c>
      <c r="F136" s="2">
        <v>19</v>
      </c>
      <c r="G136" s="2">
        <v>0.2</v>
      </c>
      <c r="H136" s="3">
        <v>45625</v>
      </c>
      <c r="I136" s="4">
        <v>178.91</v>
      </c>
      <c r="J136" s="14">
        <f t="shared" ca="1" si="4"/>
        <v>46275.421734837961</v>
      </c>
      <c r="K136" s="9">
        <f t="shared" si="5"/>
        <v>45597</v>
      </c>
    </row>
    <row r="137" spans="1:11" ht="15" thickBot="1" x14ac:dyDescent="0.35">
      <c r="A137" s="1" t="s">
        <v>24</v>
      </c>
      <c r="B137" s="2" t="s">
        <v>37</v>
      </c>
      <c r="C137" s="2" t="s">
        <v>23</v>
      </c>
      <c r="D137" s="2" t="s">
        <v>38</v>
      </c>
      <c r="E137" s="2">
        <v>833.91</v>
      </c>
      <c r="F137" s="2">
        <v>3</v>
      </c>
      <c r="G137" s="2">
        <v>0.05</v>
      </c>
      <c r="H137" s="3">
        <v>45626</v>
      </c>
      <c r="I137" s="4">
        <v>356.5</v>
      </c>
      <c r="J137" s="14">
        <f t="shared" ca="1" si="4"/>
        <v>46275.421734837961</v>
      </c>
      <c r="K137" s="9">
        <f t="shared" si="5"/>
        <v>45597</v>
      </c>
    </row>
    <row r="138" spans="1:11" ht="15" thickBot="1" x14ac:dyDescent="0.35">
      <c r="A138" s="1" t="s">
        <v>57</v>
      </c>
      <c r="B138" s="2" t="s">
        <v>70</v>
      </c>
      <c r="C138" s="2" t="s">
        <v>10</v>
      </c>
      <c r="D138" s="2" t="s">
        <v>26</v>
      </c>
      <c r="E138" s="2">
        <v>820.19</v>
      </c>
      <c r="F138" s="2">
        <v>4</v>
      </c>
      <c r="G138" s="2">
        <v>0.2</v>
      </c>
      <c r="H138" s="3">
        <v>45630</v>
      </c>
      <c r="I138" s="4">
        <v>229.65</v>
      </c>
      <c r="J138" s="14">
        <f t="shared" ca="1" si="4"/>
        <v>46275.421734837961</v>
      </c>
      <c r="K138" s="9">
        <f t="shared" si="5"/>
        <v>45627</v>
      </c>
    </row>
    <row r="139" spans="1:11" ht="15" thickBot="1" x14ac:dyDescent="0.35">
      <c r="A139" s="1" t="s">
        <v>57</v>
      </c>
      <c r="B139" s="2" t="s">
        <v>37</v>
      </c>
      <c r="C139" s="2" t="s">
        <v>33</v>
      </c>
      <c r="D139" s="2" t="s">
        <v>20</v>
      </c>
      <c r="E139" s="2">
        <v>511.74</v>
      </c>
      <c r="F139" s="2">
        <v>8</v>
      </c>
      <c r="G139" s="2">
        <v>0.05</v>
      </c>
      <c r="H139" s="3">
        <v>45631</v>
      </c>
      <c r="I139" s="4">
        <v>121.54</v>
      </c>
      <c r="J139" s="14">
        <f t="shared" ca="1" si="4"/>
        <v>46275.421734837961</v>
      </c>
      <c r="K139" s="9">
        <f t="shared" si="5"/>
        <v>45627</v>
      </c>
    </row>
    <row r="140" spans="1:11" ht="15" thickBot="1" x14ac:dyDescent="0.35">
      <c r="A140" s="1" t="s">
        <v>64</v>
      </c>
      <c r="B140" s="2" t="s">
        <v>60</v>
      </c>
      <c r="C140" s="2" t="s">
        <v>19</v>
      </c>
      <c r="D140" s="2" t="s">
        <v>26</v>
      </c>
      <c r="E140" s="2">
        <v>806.03</v>
      </c>
      <c r="F140" s="2">
        <v>19</v>
      </c>
      <c r="G140" s="2">
        <v>0.05</v>
      </c>
      <c r="H140" s="3">
        <v>45638</v>
      </c>
      <c r="I140" s="4">
        <v>268</v>
      </c>
      <c r="J140" s="14">
        <f t="shared" ca="1" si="4"/>
        <v>46275.421734837961</v>
      </c>
      <c r="K140" s="9">
        <f t="shared" si="5"/>
        <v>45627</v>
      </c>
    </row>
    <row r="141" spans="1:11" ht="15" thickBot="1" x14ac:dyDescent="0.35">
      <c r="A141" s="1" t="s">
        <v>27</v>
      </c>
      <c r="B141" s="2" t="s">
        <v>25</v>
      </c>
      <c r="C141" s="2" t="s">
        <v>33</v>
      </c>
      <c r="D141" s="2" t="s">
        <v>26</v>
      </c>
      <c r="E141" s="2">
        <v>1432.47</v>
      </c>
      <c r="F141" s="2">
        <v>16</v>
      </c>
      <c r="G141" s="2">
        <v>0.15</v>
      </c>
      <c r="H141" s="3">
        <v>45640</v>
      </c>
      <c r="I141" s="4">
        <v>426.16</v>
      </c>
      <c r="J141" s="14">
        <f t="shared" ca="1" si="4"/>
        <v>46275.421734837961</v>
      </c>
      <c r="K141" s="9">
        <f t="shared" si="5"/>
        <v>45627</v>
      </c>
    </row>
    <row r="142" spans="1:11" ht="15" thickBot="1" x14ac:dyDescent="0.35">
      <c r="A142" s="1" t="s">
        <v>73</v>
      </c>
      <c r="B142" s="2" t="s">
        <v>28</v>
      </c>
      <c r="C142" s="2" t="s">
        <v>33</v>
      </c>
      <c r="D142" s="2" t="s">
        <v>20</v>
      </c>
      <c r="E142" s="2">
        <v>1488.58</v>
      </c>
      <c r="F142" s="2">
        <v>10</v>
      </c>
      <c r="G142" s="2">
        <v>0.15</v>
      </c>
      <c r="H142" s="3">
        <v>45640</v>
      </c>
      <c r="I142" s="4">
        <v>316.32</v>
      </c>
      <c r="J142" s="14">
        <f t="shared" ca="1" si="4"/>
        <v>46275.421734837961</v>
      </c>
      <c r="K142" s="9">
        <f t="shared" si="5"/>
        <v>45627</v>
      </c>
    </row>
    <row r="143" spans="1:11" ht="15" thickBot="1" x14ac:dyDescent="0.35">
      <c r="A143" s="1" t="s">
        <v>29</v>
      </c>
      <c r="B143" s="2" t="s">
        <v>65</v>
      </c>
      <c r="C143" s="2" t="s">
        <v>17</v>
      </c>
      <c r="D143" s="2" t="s">
        <v>11</v>
      </c>
      <c r="E143" s="2">
        <v>1231.26</v>
      </c>
      <c r="F143" s="2">
        <v>9</v>
      </c>
      <c r="G143" s="2">
        <v>0</v>
      </c>
      <c r="H143" s="3">
        <v>45646</v>
      </c>
      <c r="I143" s="4">
        <v>492.5</v>
      </c>
      <c r="J143" s="14">
        <f t="shared" ca="1" si="4"/>
        <v>46275.421734837961</v>
      </c>
      <c r="K143" s="9">
        <f t="shared" si="5"/>
        <v>45627</v>
      </c>
    </row>
    <row r="144" spans="1:11" ht="15" thickBot="1" x14ac:dyDescent="0.35">
      <c r="A144" s="1" t="s">
        <v>29</v>
      </c>
      <c r="B144" s="2" t="s">
        <v>42</v>
      </c>
      <c r="C144" s="2" t="s">
        <v>10</v>
      </c>
      <c r="D144" s="2" t="s">
        <v>20</v>
      </c>
      <c r="E144" s="2">
        <v>1161.67</v>
      </c>
      <c r="F144" s="2">
        <v>19</v>
      </c>
      <c r="G144" s="2">
        <v>0.2</v>
      </c>
      <c r="H144" s="3">
        <v>45647</v>
      </c>
      <c r="I144" s="4">
        <v>232.33</v>
      </c>
      <c r="J144" s="14">
        <f t="shared" ca="1" si="4"/>
        <v>46275.421734837961</v>
      </c>
      <c r="K144" s="9">
        <f t="shared" si="5"/>
        <v>45627</v>
      </c>
    </row>
    <row r="145" spans="1:11" ht="15" thickBot="1" x14ac:dyDescent="0.35">
      <c r="A145" s="1" t="s">
        <v>48</v>
      </c>
      <c r="B145" s="2" t="s">
        <v>44</v>
      </c>
      <c r="C145" s="2" t="s">
        <v>33</v>
      </c>
      <c r="D145" s="2" t="s">
        <v>38</v>
      </c>
      <c r="E145" s="2">
        <v>388.23</v>
      </c>
      <c r="F145" s="2">
        <v>16</v>
      </c>
      <c r="G145" s="2">
        <v>0.05</v>
      </c>
      <c r="H145" s="3">
        <v>45650</v>
      </c>
      <c r="I145" s="4">
        <v>165.97</v>
      </c>
      <c r="J145" s="14">
        <f t="shared" ca="1" si="4"/>
        <v>46275.421734837961</v>
      </c>
      <c r="K145" s="9">
        <f t="shared" si="5"/>
        <v>45627</v>
      </c>
    </row>
    <row r="146" spans="1:11" ht="15" thickBot="1" x14ac:dyDescent="0.35">
      <c r="A146" s="1" t="s">
        <v>71</v>
      </c>
      <c r="B146" s="2" t="s">
        <v>30</v>
      </c>
      <c r="C146" s="2" t="s">
        <v>23</v>
      </c>
      <c r="D146" s="2" t="s">
        <v>14</v>
      </c>
      <c r="E146" s="2">
        <v>1589.42</v>
      </c>
      <c r="F146" s="2">
        <v>6</v>
      </c>
      <c r="G146" s="2">
        <v>0.15</v>
      </c>
      <c r="H146" s="3">
        <v>45651</v>
      </c>
      <c r="I146" s="4">
        <v>675.5</v>
      </c>
      <c r="J146" s="14">
        <f t="shared" ca="1" si="4"/>
        <v>46275.421734837961</v>
      </c>
      <c r="K146" s="9">
        <f t="shared" si="5"/>
        <v>45627</v>
      </c>
    </row>
    <row r="147" spans="1:11" ht="15" thickBot="1" x14ac:dyDescent="0.35">
      <c r="A147" s="1" t="s">
        <v>27</v>
      </c>
      <c r="B147" s="2" t="s">
        <v>70</v>
      </c>
      <c r="C147" s="2" t="s">
        <v>23</v>
      </c>
      <c r="D147" s="2" t="s">
        <v>14</v>
      </c>
      <c r="E147" s="2">
        <v>336.66</v>
      </c>
      <c r="F147" s="2">
        <v>13</v>
      </c>
      <c r="G147" s="2">
        <v>0.2</v>
      </c>
      <c r="H147" s="3">
        <v>45651</v>
      </c>
      <c r="I147" s="4">
        <v>134.66</v>
      </c>
      <c r="J147" s="14">
        <f t="shared" ca="1" si="4"/>
        <v>46275.421734837961</v>
      </c>
      <c r="K147" s="9">
        <f t="shared" si="5"/>
        <v>45627</v>
      </c>
    </row>
    <row r="148" spans="1:11" ht="15" thickBot="1" x14ac:dyDescent="0.35">
      <c r="A148" s="1" t="s">
        <v>48</v>
      </c>
      <c r="B148" s="2" t="s">
        <v>22</v>
      </c>
      <c r="C148" s="2" t="s">
        <v>10</v>
      </c>
      <c r="D148" s="2" t="s">
        <v>11</v>
      </c>
      <c r="E148" s="2">
        <v>1353.79</v>
      </c>
      <c r="F148" s="2">
        <v>14</v>
      </c>
      <c r="G148" s="2">
        <v>0.1</v>
      </c>
      <c r="H148" s="3">
        <v>45656</v>
      </c>
      <c r="I148" s="4">
        <v>487.36</v>
      </c>
      <c r="J148" s="14">
        <f t="shared" ca="1" si="4"/>
        <v>46275.421734837961</v>
      </c>
      <c r="K148" s="9">
        <f t="shared" si="5"/>
        <v>45627</v>
      </c>
    </row>
    <row r="149" spans="1:11" ht="15" thickBot="1" x14ac:dyDescent="0.35">
      <c r="A149" s="1" t="s">
        <v>62</v>
      </c>
      <c r="B149" s="2" t="s">
        <v>68</v>
      </c>
      <c r="C149" s="2" t="s">
        <v>33</v>
      </c>
      <c r="D149" s="2" t="s">
        <v>14</v>
      </c>
      <c r="E149" s="2">
        <v>662.61</v>
      </c>
      <c r="F149" s="2">
        <v>11</v>
      </c>
      <c r="G149" s="2">
        <v>0.05</v>
      </c>
      <c r="H149" s="3">
        <v>45658</v>
      </c>
      <c r="I149" s="4">
        <v>314.74</v>
      </c>
      <c r="J149" s="14">
        <f t="shared" ca="1" si="4"/>
        <v>46275.421734837961</v>
      </c>
      <c r="K149" s="9">
        <f t="shared" si="5"/>
        <v>45658</v>
      </c>
    </row>
    <row r="150" spans="1:11" ht="15" thickBot="1" x14ac:dyDescent="0.35">
      <c r="A150" s="1" t="s">
        <v>51</v>
      </c>
      <c r="B150" s="2" t="s">
        <v>47</v>
      </c>
      <c r="C150" s="2" t="s">
        <v>23</v>
      </c>
      <c r="D150" s="2" t="s">
        <v>38</v>
      </c>
      <c r="E150" s="2">
        <v>309.42</v>
      </c>
      <c r="F150" s="2">
        <v>1</v>
      </c>
      <c r="G150" s="2">
        <v>0.2</v>
      </c>
      <c r="H150" s="3">
        <v>45658</v>
      </c>
      <c r="I150" s="4">
        <v>111.39</v>
      </c>
      <c r="J150" s="14">
        <f t="shared" ca="1" si="4"/>
        <v>46275.421734837961</v>
      </c>
      <c r="K150" s="9">
        <f t="shared" si="5"/>
        <v>45658</v>
      </c>
    </row>
    <row r="151" spans="1:11" ht="15" thickBot="1" x14ac:dyDescent="0.35">
      <c r="A151" s="1" t="s">
        <v>62</v>
      </c>
      <c r="B151" s="2" t="s">
        <v>28</v>
      </c>
      <c r="C151" s="2" t="s">
        <v>23</v>
      </c>
      <c r="D151" s="2" t="s">
        <v>11</v>
      </c>
      <c r="E151" s="2">
        <v>884.63</v>
      </c>
      <c r="F151" s="2">
        <v>18</v>
      </c>
      <c r="G151" s="2">
        <v>0.1</v>
      </c>
      <c r="H151" s="3">
        <v>45659</v>
      </c>
      <c r="I151" s="4">
        <v>318.47000000000003</v>
      </c>
      <c r="J151" s="14">
        <f t="shared" ca="1" si="4"/>
        <v>46275.421734837961</v>
      </c>
      <c r="K151" s="9">
        <f t="shared" si="5"/>
        <v>45658</v>
      </c>
    </row>
    <row r="152" spans="1:11" ht="15" thickBot="1" x14ac:dyDescent="0.35">
      <c r="A152" s="1" t="s">
        <v>51</v>
      </c>
      <c r="B152" s="2" t="s">
        <v>22</v>
      </c>
      <c r="C152" s="2" t="s">
        <v>33</v>
      </c>
      <c r="D152" s="2" t="s">
        <v>38</v>
      </c>
      <c r="E152" s="2">
        <v>745.05</v>
      </c>
      <c r="F152" s="2">
        <v>10</v>
      </c>
      <c r="G152" s="2">
        <v>0.1</v>
      </c>
      <c r="H152" s="3">
        <v>45660</v>
      </c>
      <c r="I152" s="4">
        <v>301.75</v>
      </c>
      <c r="J152" s="14">
        <f t="shared" ca="1" si="4"/>
        <v>46275.421734837961</v>
      </c>
      <c r="K152" s="9">
        <f t="shared" si="5"/>
        <v>45658</v>
      </c>
    </row>
    <row r="153" spans="1:11" ht="15" thickBot="1" x14ac:dyDescent="0.35">
      <c r="A153" s="1" t="s">
        <v>59</v>
      </c>
      <c r="B153" s="2" t="s">
        <v>16</v>
      </c>
      <c r="C153" s="2" t="s">
        <v>19</v>
      </c>
      <c r="D153" s="2" t="s">
        <v>14</v>
      </c>
      <c r="E153" s="2">
        <v>870.23</v>
      </c>
      <c r="F153" s="2">
        <v>5</v>
      </c>
      <c r="G153" s="2">
        <v>0.05</v>
      </c>
      <c r="H153" s="3">
        <v>45660</v>
      </c>
      <c r="I153" s="4">
        <v>413.36</v>
      </c>
      <c r="J153" s="14">
        <f t="shared" ca="1" si="4"/>
        <v>46275.421734837961</v>
      </c>
      <c r="K153" s="9">
        <f t="shared" si="5"/>
        <v>45658</v>
      </c>
    </row>
    <row r="154" spans="1:11" ht="15" thickBot="1" x14ac:dyDescent="0.35">
      <c r="A154" s="1" t="s">
        <v>34</v>
      </c>
      <c r="B154" s="2" t="s">
        <v>28</v>
      </c>
      <c r="C154" s="2" t="s">
        <v>10</v>
      </c>
      <c r="D154" s="2" t="s">
        <v>26</v>
      </c>
      <c r="E154" s="2">
        <v>862.19</v>
      </c>
      <c r="F154" s="2">
        <v>18</v>
      </c>
      <c r="G154" s="2">
        <v>0.05</v>
      </c>
      <c r="H154" s="3">
        <v>45663</v>
      </c>
      <c r="I154" s="4">
        <v>286.68</v>
      </c>
      <c r="J154" s="14">
        <f t="shared" ca="1" si="4"/>
        <v>46275.421734837961</v>
      </c>
      <c r="K154" s="9">
        <f t="shared" si="5"/>
        <v>45658</v>
      </c>
    </row>
    <row r="155" spans="1:11" ht="15" thickBot="1" x14ac:dyDescent="0.35">
      <c r="A155" s="1" t="s">
        <v>72</v>
      </c>
      <c r="B155" s="2" t="s">
        <v>58</v>
      </c>
      <c r="C155" s="2" t="s">
        <v>23</v>
      </c>
      <c r="D155" s="2" t="s">
        <v>14</v>
      </c>
      <c r="E155" s="2">
        <v>1171.18</v>
      </c>
      <c r="F155" s="2">
        <v>19</v>
      </c>
      <c r="G155" s="2">
        <v>0.05</v>
      </c>
      <c r="H155" s="3">
        <v>45667</v>
      </c>
      <c r="I155" s="4">
        <v>556.30999999999995</v>
      </c>
      <c r="J155" s="14">
        <f t="shared" ca="1" si="4"/>
        <v>46275.421734837961</v>
      </c>
      <c r="K155" s="9">
        <f t="shared" si="5"/>
        <v>45658</v>
      </c>
    </row>
    <row r="156" spans="1:11" ht="15" thickBot="1" x14ac:dyDescent="0.35">
      <c r="A156" s="1" t="s">
        <v>57</v>
      </c>
      <c r="B156" s="2" t="s">
        <v>13</v>
      </c>
      <c r="C156" s="2" t="s">
        <v>19</v>
      </c>
      <c r="D156" s="2" t="s">
        <v>26</v>
      </c>
      <c r="E156" s="2">
        <v>1054.56</v>
      </c>
      <c r="F156" s="2">
        <v>11</v>
      </c>
      <c r="G156" s="2">
        <v>0.1</v>
      </c>
      <c r="H156" s="3">
        <v>45669</v>
      </c>
      <c r="I156" s="4">
        <v>332.19</v>
      </c>
      <c r="J156" s="14">
        <f t="shared" ca="1" si="4"/>
        <v>46275.421734837961</v>
      </c>
      <c r="K156" s="9">
        <f t="shared" si="5"/>
        <v>45658</v>
      </c>
    </row>
    <row r="157" spans="1:11" ht="15" thickBot="1" x14ac:dyDescent="0.35">
      <c r="A157" s="1" t="s">
        <v>57</v>
      </c>
      <c r="B157" s="2" t="s">
        <v>22</v>
      </c>
      <c r="C157" s="2" t="s">
        <v>23</v>
      </c>
      <c r="D157" s="2" t="s">
        <v>20</v>
      </c>
      <c r="E157" s="2">
        <v>1681.21</v>
      </c>
      <c r="F157" s="2">
        <v>5</v>
      </c>
      <c r="G157" s="2">
        <v>0.2</v>
      </c>
      <c r="H157" s="3">
        <v>45670</v>
      </c>
      <c r="I157" s="4">
        <v>336.24</v>
      </c>
      <c r="J157" s="14">
        <f t="shared" ca="1" si="4"/>
        <v>46275.421734837961</v>
      </c>
      <c r="K157" s="9">
        <f t="shared" si="5"/>
        <v>45658</v>
      </c>
    </row>
    <row r="158" spans="1:11" ht="15" thickBot="1" x14ac:dyDescent="0.35">
      <c r="A158" s="1" t="s">
        <v>57</v>
      </c>
      <c r="B158" s="2" t="s">
        <v>35</v>
      </c>
      <c r="C158" s="2" t="s">
        <v>10</v>
      </c>
      <c r="D158" s="2" t="s">
        <v>14</v>
      </c>
      <c r="E158" s="2">
        <v>379.77</v>
      </c>
      <c r="F158" s="2">
        <v>9</v>
      </c>
      <c r="G158" s="2">
        <v>0.05</v>
      </c>
      <c r="H158" s="3">
        <v>45673</v>
      </c>
      <c r="I158" s="4">
        <v>180.39</v>
      </c>
      <c r="J158" s="14">
        <f t="shared" ca="1" si="4"/>
        <v>46275.421734837961</v>
      </c>
      <c r="K158" s="9">
        <f t="shared" si="5"/>
        <v>45658</v>
      </c>
    </row>
    <row r="159" spans="1:11" ht="15" thickBot="1" x14ac:dyDescent="0.35">
      <c r="A159" s="1" t="s">
        <v>43</v>
      </c>
      <c r="B159" s="2" t="s">
        <v>44</v>
      </c>
      <c r="C159" s="2" t="s">
        <v>33</v>
      </c>
      <c r="D159" s="2" t="s">
        <v>14</v>
      </c>
      <c r="E159" s="2">
        <v>1076.33</v>
      </c>
      <c r="F159" s="2">
        <v>2</v>
      </c>
      <c r="G159" s="2">
        <v>0.1</v>
      </c>
      <c r="H159" s="3">
        <v>45674</v>
      </c>
      <c r="I159" s="4">
        <v>484.35</v>
      </c>
      <c r="J159" s="14">
        <f t="shared" ca="1" si="4"/>
        <v>46275.421734837961</v>
      </c>
      <c r="K159" s="9">
        <f t="shared" si="5"/>
        <v>45658</v>
      </c>
    </row>
    <row r="160" spans="1:11" ht="15" thickBot="1" x14ac:dyDescent="0.35">
      <c r="A160" s="1" t="s">
        <v>43</v>
      </c>
      <c r="B160" s="2" t="s">
        <v>30</v>
      </c>
      <c r="C160" s="2" t="s">
        <v>33</v>
      </c>
      <c r="D160" s="2" t="s">
        <v>38</v>
      </c>
      <c r="E160" s="2">
        <v>1250.71</v>
      </c>
      <c r="F160" s="2">
        <v>7</v>
      </c>
      <c r="G160" s="2">
        <v>0</v>
      </c>
      <c r="H160" s="3">
        <v>45674</v>
      </c>
      <c r="I160" s="4">
        <v>562.82000000000005</v>
      </c>
      <c r="J160" s="14">
        <f t="shared" ca="1" si="4"/>
        <v>46275.421734837961</v>
      </c>
      <c r="K160" s="9">
        <f t="shared" si="5"/>
        <v>45658</v>
      </c>
    </row>
    <row r="161" spans="1:11" ht="15" thickBot="1" x14ac:dyDescent="0.35">
      <c r="A161" s="1" t="s">
        <v>39</v>
      </c>
      <c r="B161" s="2" t="s">
        <v>16</v>
      </c>
      <c r="C161" s="2" t="s">
        <v>19</v>
      </c>
      <c r="D161" s="2" t="s">
        <v>14</v>
      </c>
      <c r="E161" s="2">
        <v>1118.3399999999999</v>
      </c>
      <c r="F161" s="2">
        <v>6</v>
      </c>
      <c r="G161" s="2">
        <v>0.2</v>
      </c>
      <c r="H161" s="3">
        <v>45674</v>
      </c>
      <c r="I161" s="4">
        <v>447.34</v>
      </c>
      <c r="J161" s="14">
        <f t="shared" ca="1" si="4"/>
        <v>46275.421734837961</v>
      </c>
      <c r="K161" s="9">
        <f t="shared" si="5"/>
        <v>45658</v>
      </c>
    </row>
    <row r="162" spans="1:11" ht="15" thickBot="1" x14ac:dyDescent="0.35">
      <c r="A162" s="1" t="s">
        <v>69</v>
      </c>
      <c r="B162" s="2" t="s">
        <v>52</v>
      </c>
      <c r="C162" s="2" t="s">
        <v>23</v>
      </c>
      <c r="D162" s="2" t="s">
        <v>14</v>
      </c>
      <c r="E162" s="2">
        <v>1622.62</v>
      </c>
      <c r="F162" s="2">
        <v>12</v>
      </c>
      <c r="G162" s="2">
        <v>0.2</v>
      </c>
      <c r="H162" s="3">
        <v>45677</v>
      </c>
      <c r="I162" s="4">
        <v>649.04999999999995</v>
      </c>
      <c r="J162" s="14">
        <f t="shared" ca="1" si="4"/>
        <v>46275.421734837961</v>
      </c>
      <c r="K162" s="9">
        <f t="shared" si="5"/>
        <v>45658</v>
      </c>
    </row>
    <row r="163" spans="1:11" ht="15" thickBot="1" x14ac:dyDescent="0.35">
      <c r="A163" s="1" t="s">
        <v>74</v>
      </c>
      <c r="B163" s="2" t="s">
        <v>47</v>
      </c>
      <c r="C163" s="2" t="s">
        <v>23</v>
      </c>
      <c r="D163" s="2" t="s">
        <v>11</v>
      </c>
      <c r="E163" s="2">
        <v>640.64</v>
      </c>
      <c r="F163" s="2">
        <v>11</v>
      </c>
      <c r="G163" s="2">
        <v>0.2</v>
      </c>
      <c r="H163" s="3">
        <v>45678</v>
      </c>
      <c r="I163" s="4">
        <v>205</v>
      </c>
      <c r="J163" s="14">
        <f t="shared" ca="1" si="4"/>
        <v>46275.421734837961</v>
      </c>
      <c r="K163" s="9">
        <f t="shared" si="5"/>
        <v>45658</v>
      </c>
    </row>
    <row r="164" spans="1:11" ht="15" thickBot="1" x14ac:dyDescent="0.35">
      <c r="A164" s="1" t="s">
        <v>21</v>
      </c>
      <c r="B164" s="2" t="s">
        <v>42</v>
      </c>
      <c r="C164" s="2" t="s">
        <v>10</v>
      </c>
      <c r="D164" s="2" t="s">
        <v>14</v>
      </c>
      <c r="E164" s="2">
        <v>585.16</v>
      </c>
      <c r="F164" s="2">
        <v>17</v>
      </c>
      <c r="G164" s="2">
        <v>0.1</v>
      </c>
      <c r="H164" s="3">
        <v>45684</v>
      </c>
      <c r="I164" s="4">
        <v>263.32</v>
      </c>
      <c r="J164" s="14">
        <f t="shared" ca="1" si="4"/>
        <v>46275.421734837961</v>
      </c>
      <c r="K164" s="9">
        <f t="shared" si="5"/>
        <v>45658</v>
      </c>
    </row>
    <row r="165" spans="1:11" ht="15" thickBot="1" x14ac:dyDescent="0.35">
      <c r="A165" s="1" t="s">
        <v>21</v>
      </c>
      <c r="B165" s="2" t="s">
        <v>30</v>
      </c>
      <c r="C165" s="2" t="s">
        <v>17</v>
      </c>
      <c r="D165" s="2" t="s">
        <v>14</v>
      </c>
      <c r="E165" s="2">
        <v>1109.98</v>
      </c>
      <c r="F165" s="2">
        <v>5</v>
      </c>
      <c r="G165" s="2">
        <v>0.2</v>
      </c>
      <c r="H165" s="3">
        <v>45690</v>
      </c>
      <c r="I165" s="4">
        <v>443.99</v>
      </c>
      <c r="J165" s="14">
        <f t="shared" ca="1" si="4"/>
        <v>46275.421734837961</v>
      </c>
      <c r="K165" s="9">
        <f t="shared" si="5"/>
        <v>45689</v>
      </c>
    </row>
    <row r="166" spans="1:11" ht="15" thickBot="1" x14ac:dyDescent="0.35">
      <c r="A166" s="1" t="s">
        <v>57</v>
      </c>
      <c r="B166" s="2" t="s">
        <v>44</v>
      </c>
      <c r="C166" s="2" t="s">
        <v>17</v>
      </c>
      <c r="D166" s="2" t="s">
        <v>11</v>
      </c>
      <c r="E166" s="2">
        <v>1098.08</v>
      </c>
      <c r="F166" s="2">
        <v>9</v>
      </c>
      <c r="G166" s="2">
        <v>0.1</v>
      </c>
      <c r="H166" s="3">
        <v>45692</v>
      </c>
      <c r="I166" s="4">
        <v>395.31</v>
      </c>
      <c r="J166" s="14">
        <f t="shared" ca="1" si="4"/>
        <v>46275.421734837961</v>
      </c>
      <c r="K166" s="9">
        <f t="shared" si="5"/>
        <v>45689</v>
      </c>
    </row>
    <row r="167" spans="1:11" ht="15" thickBot="1" x14ac:dyDescent="0.35">
      <c r="A167" s="1" t="s">
        <v>64</v>
      </c>
      <c r="B167" s="2" t="s">
        <v>47</v>
      </c>
      <c r="C167" s="2" t="s">
        <v>10</v>
      </c>
      <c r="D167" s="2" t="s">
        <v>38</v>
      </c>
      <c r="E167" s="2">
        <v>827.25</v>
      </c>
      <c r="F167" s="2">
        <v>7</v>
      </c>
      <c r="G167" s="2">
        <v>0.1</v>
      </c>
      <c r="H167" s="3">
        <v>45693</v>
      </c>
      <c r="I167" s="4">
        <v>335.04</v>
      </c>
      <c r="J167" s="14">
        <f t="shared" ca="1" si="4"/>
        <v>46275.421734837961</v>
      </c>
      <c r="K167" s="9">
        <f t="shared" si="5"/>
        <v>45689</v>
      </c>
    </row>
    <row r="168" spans="1:11" ht="15" thickBot="1" x14ac:dyDescent="0.35">
      <c r="A168" s="1" t="s">
        <v>69</v>
      </c>
      <c r="B168" s="2" t="s">
        <v>28</v>
      </c>
      <c r="C168" s="2" t="s">
        <v>33</v>
      </c>
      <c r="D168" s="2" t="s">
        <v>14</v>
      </c>
      <c r="E168" s="2">
        <v>741.88</v>
      </c>
      <c r="F168" s="2">
        <v>16</v>
      </c>
      <c r="G168" s="2">
        <v>0.1</v>
      </c>
      <c r="H168" s="3">
        <v>45695</v>
      </c>
      <c r="I168" s="4">
        <v>333.85</v>
      </c>
      <c r="J168" s="14">
        <f t="shared" ca="1" si="4"/>
        <v>46275.421734837961</v>
      </c>
      <c r="K168" s="9">
        <f t="shared" si="5"/>
        <v>45689</v>
      </c>
    </row>
    <row r="169" spans="1:11" ht="15" thickBot="1" x14ac:dyDescent="0.35">
      <c r="A169" s="1" t="s">
        <v>71</v>
      </c>
      <c r="B169" s="2" t="s">
        <v>9</v>
      </c>
      <c r="C169" s="2" t="s">
        <v>17</v>
      </c>
      <c r="D169" s="2" t="s">
        <v>38</v>
      </c>
      <c r="E169" s="2">
        <v>1311.26</v>
      </c>
      <c r="F169" s="2">
        <v>6</v>
      </c>
      <c r="G169" s="2">
        <v>0.1</v>
      </c>
      <c r="H169" s="3">
        <v>45698</v>
      </c>
      <c r="I169" s="4">
        <v>531.05999999999995</v>
      </c>
      <c r="J169" s="14">
        <f t="shared" ca="1" si="4"/>
        <v>46275.421734837961</v>
      </c>
      <c r="K169" s="9">
        <f t="shared" si="5"/>
        <v>45689</v>
      </c>
    </row>
    <row r="170" spans="1:11" ht="15" thickBot="1" x14ac:dyDescent="0.35">
      <c r="A170" s="1" t="s">
        <v>71</v>
      </c>
      <c r="B170" s="2" t="s">
        <v>30</v>
      </c>
      <c r="C170" s="2" t="s">
        <v>19</v>
      </c>
      <c r="D170" s="2" t="s">
        <v>38</v>
      </c>
      <c r="E170" s="2">
        <v>573.32000000000005</v>
      </c>
      <c r="F170" s="2">
        <v>19</v>
      </c>
      <c r="G170" s="2">
        <v>0.1</v>
      </c>
      <c r="H170" s="3">
        <v>45703</v>
      </c>
      <c r="I170" s="4">
        <v>232.19</v>
      </c>
      <c r="J170" s="14">
        <f t="shared" ca="1" si="4"/>
        <v>46275.421734837961</v>
      </c>
      <c r="K170" s="9">
        <f t="shared" si="5"/>
        <v>45689</v>
      </c>
    </row>
    <row r="171" spans="1:11" ht="15" thickBot="1" x14ac:dyDescent="0.35">
      <c r="A171" s="1" t="s">
        <v>51</v>
      </c>
      <c r="B171" s="2" t="s">
        <v>22</v>
      </c>
      <c r="C171" s="2" t="s">
        <v>10</v>
      </c>
      <c r="D171" s="2" t="s">
        <v>20</v>
      </c>
      <c r="E171" s="2">
        <v>1115.22</v>
      </c>
      <c r="F171" s="2">
        <v>14</v>
      </c>
      <c r="G171" s="2">
        <v>0.2</v>
      </c>
      <c r="H171" s="3">
        <v>45705</v>
      </c>
      <c r="I171" s="4">
        <v>223.04</v>
      </c>
      <c r="J171" s="14">
        <f t="shared" ca="1" si="4"/>
        <v>46275.421734837961</v>
      </c>
      <c r="K171" s="9">
        <f t="shared" si="5"/>
        <v>45689</v>
      </c>
    </row>
    <row r="172" spans="1:11" ht="15" thickBot="1" x14ac:dyDescent="0.35">
      <c r="A172" s="1" t="s">
        <v>12</v>
      </c>
      <c r="B172" s="2" t="s">
        <v>44</v>
      </c>
      <c r="C172" s="2" t="s">
        <v>23</v>
      </c>
      <c r="D172" s="2" t="s">
        <v>14</v>
      </c>
      <c r="E172" s="2">
        <v>845.84</v>
      </c>
      <c r="F172" s="2">
        <v>4</v>
      </c>
      <c r="G172" s="2">
        <v>0</v>
      </c>
      <c r="H172" s="3">
        <v>45707</v>
      </c>
      <c r="I172" s="4">
        <v>422.92</v>
      </c>
      <c r="J172" s="14">
        <f t="shared" ca="1" si="4"/>
        <v>46275.421734837961</v>
      </c>
      <c r="K172" s="9">
        <f t="shared" si="5"/>
        <v>45689</v>
      </c>
    </row>
    <row r="173" spans="1:11" ht="15" thickBot="1" x14ac:dyDescent="0.35">
      <c r="A173" s="1" t="s">
        <v>29</v>
      </c>
      <c r="B173" s="2" t="s">
        <v>54</v>
      </c>
      <c r="C173" s="2" t="s">
        <v>10</v>
      </c>
      <c r="D173" s="2" t="s">
        <v>20</v>
      </c>
      <c r="E173" s="2">
        <v>1029.8</v>
      </c>
      <c r="F173" s="2">
        <v>3</v>
      </c>
      <c r="G173" s="2">
        <v>0</v>
      </c>
      <c r="H173" s="3">
        <v>45708</v>
      </c>
      <c r="I173" s="4">
        <v>257.45</v>
      </c>
      <c r="J173" s="14">
        <f t="shared" ca="1" si="4"/>
        <v>46275.421734837961</v>
      </c>
      <c r="K173" s="9">
        <f t="shared" si="5"/>
        <v>45689</v>
      </c>
    </row>
    <row r="174" spans="1:11" ht="15" thickBot="1" x14ac:dyDescent="0.35">
      <c r="A174" s="1" t="s">
        <v>31</v>
      </c>
      <c r="B174" s="2" t="s">
        <v>30</v>
      </c>
      <c r="C174" s="2" t="s">
        <v>23</v>
      </c>
      <c r="D174" s="2" t="s">
        <v>11</v>
      </c>
      <c r="E174" s="2">
        <v>1189.83</v>
      </c>
      <c r="F174" s="2">
        <v>2</v>
      </c>
      <c r="G174" s="2">
        <v>0.2</v>
      </c>
      <c r="H174" s="3">
        <v>45709</v>
      </c>
      <c r="I174" s="4">
        <v>380.75</v>
      </c>
      <c r="J174" s="14">
        <f t="shared" ca="1" si="4"/>
        <v>46275.421734837961</v>
      </c>
      <c r="K174" s="9">
        <f t="shared" si="5"/>
        <v>45689</v>
      </c>
    </row>
    <row r="175" spans="1:11" ht="15" thickBot="1" x14ac:dyDescent="0.35">
      <c r="A175" s="1" t="s">
        <v>66</v>
      </c>
      <c r="B175" s="2" t="s">
        <v>42</v>
      </c>
      <c r="C175" s="2" t="s">
        <v>19</v>
      </c>
      <c r="D175" s="2" t="s">
        <v>11</v>
      </c>
      <c r="E175" s="2">
        <v>704.28</v>
      </c>
      <c r="F175" s="2">
        <v>15</v>
      </c>
      <c r="G175" s="2">
        <v>0.2</v>
      </c>
      <c r="H175" s="3">
        <v>45712</v>
      </c>
      <c r="I175" s="4">
        <v>225.37</v>
      </c>
      <c r="J175" s="14">
        <f t="shared" ca="1" si="4"/>
        <v>46275.421734837961</v>
      </c>
      <c r="K175" s="9">
        <f t="shared" si="5"/>
        <v>45689</v>
      </c>
    </row>
    <row r="176" spans="1:11" ht="15" thickBot="1" x14ac:dyDescent="0.35">
      <c r="A176" s="1" t="s">
        <v>64</v>
      </c>
      <c r="B176" s="2" t="s">
        <v>46</v>
      </c>
      <c r="C176" s="2" t="s">
        <v>33</v>
      </c>
      <c r="D176" s="2" t="s">
        <v>38</v>
      </c>
      <c r="E176" s="2">
        <v>1618.22</v>
      </c>
      <c r="F176" s="2">
        <v>12</v>
      </c>
      <c r="G176" s="2">
        <v>0.2</v>
      </c>
      <c r="H176" s="3">
        <v>45712</v>
      </c>
      <c r="I176" s="4">
        <v>582.55999999999995</v>
      </c>
      <c r="J176" s="14">
        <f t="shared" ca="1" si="4"/>
        <v>46275.421734837961</v>
      </c>
      <c r="K176" s="9">
        <f t="shared" si="5"/>
        <v>45689</v>
      </c>
    </row>
    <row r="177" spans="1:11" ht="15" thickBot="1" x14ac:dyDescent="0.35">
      <c r="A177" s="1" t="s">
        <v>72</v>
      </c>
      <c r="B177" s="2" t="s">
        <v>52</v>
      </c>
      <c r="C177" s="2" t="s">
        <v>33</v>
      </c>
      <c r="D177" s="2" t="s">
        <v>11</v>
      </c>
      <c r="E177" s="2">
        <v>1014.43</v>
      </c>
      <c r="F177" s="2">
        <v>2</v>
      </c>
      <c r="G177" s="2">
        <v>0.15</v>
      </c>
      <c r="H177" s="3">
        <v>45713</v>
      </c>
      <c r="I177" s="4">
        <v>344.91</v>
      </c>
      <c r="J177" s="14">
        <f t="shared" ca="1" si="4"/>
        <v>46275.421734837961</v>
      </c>
      <c r="K177" s="9">
        <f t="shared" si="5"/>
        <v>45689</v>
      </c>
    </row>
    <row r="178" spans="1:11" ht="15" thickBot="1" x14ac:dyDescent="0.35">
      <c r="A178" s="1" t="s">
        <v>74</v>
      </c>
      <c r="B178" s="2" t="s">
        <v>30</v>
      </c>
      <c r="C178" s="2" t="s">
        <v>33</v>
      </c>
      <c r="D178" s="2" t="s">
        <v>14</v>
      </c>
      <c r="E178" s="2">
        <v>826.97</v>
      </c>
      <c r="F178" s="2">
        <v>18</v>
      </c>
      <c r="G178" s="2">
        <v>0.2</v>
      </c>
      <c r="H178" s="3">
        <v>45715</v>
      </c>
      <c r="I178" s="4">
        <v>330.79</v>
      </c>
      <c r="J178" s="14">
        <f t="shared" ca="1" si="4"/>
        <v>46275.421734837961</v>
      </c>
      <c r="K178" s="9">
        <f t="shared" si="5"/>
        <v>45689</v>
      </c>
    </row>
    <row r="179" spans="1:11" ht="15" thickBot="1" x14ac:dyDescent="0.35">
      <c r="A179" s="1" t="s">
        <v>15</v>
      </c>
      <c r="B179" s="2" t="s">
        <v>30</v>
      </c>
      <c r="C179" s="2" t="s">
        <v>33</v>
      </c>
      <c r="D179" s="2" t="s">
        <v>14</v>
      </c>
      <c r="E179" s="2">
        <v>1022.23</v>
      </c>
      <c r="F179" s="2">
        <v>8</v>
      </c>
      <c r="G179" s="2">
        <v>0.1</v>
      </c>
      <c r="H179" s="3">
        <v>45717</v>
      </c>
      <c r="I179" s="4">
        <v>460</v>
      </c>
      <c r="J179" s="14">
        <f t="shared" ca="1" si="4"/>
        <v>46275.421734837961</v>
      </c>
      <c r="K179" s="9">
        <f t="shared" si="5"/>
        <v>45717</v>
      </c>
    </row>
    <row r="180" spans="1:11" ht="15" thickBot="1" x14ac:dyDescent="0.35">
      <c r="A180" s="1" t="s">
        <v>71</v>
      </c>
      <c r="B180" s="2" t="s">
        <v>28</v>
      </c>
      <c r="C180" s="2" t="s">
        <v>17</v>
      </c>
      <c r="D180" s="2" t="s">
        <v>11</v>
      </c>
      <c r="E180" s="2">
        <v>1099.69</v>
      </c>
      <c r="F180" s="2">
        <v>6</v>
      </c>
      <c r="G180" s="2">
        <v>0</v>
      </c>
      <c r="H180" s="3">
        <v>45718</v>
      </c>
      <c r="I180" s="4">
        <v>439.88</v>
      </c>
      <c r="J180" s="14">
        <f t="shared" ca="1" si="4"/>
        <v>46275.421734837961</v>
      </c>
      <c r="K180" s="9">
        <f t="shared" si="5"/>
        <v>45717</v>
      </c>
    </row>
    <row r="181" spans="1:11" ht="15" thickBot="1" x14ac:dyDescent="0.35">
      <c r="A181" s="1" t="s">
        <v>51</v>
      </c>
      <c r="B181" s="2" t="s">
        <v>63</v>
      </c>
      <c r="C181" s="2" t="s">
        <v>23</v>
      </c>
      <c r="D181" s="2" t="s">
        <v>11</v>
      </c>
      <c r="E181" s="2">
        <v>710.52</v>
      </c>
      <c r="F181" s="2">
        <v>8</v>
      </c>
      <c r="G181" s="2">
        <v>0.1</v>
      </c>
      <c r="H181" s="3">
        <v>45721</v>
      </c>
      <c r="I181" s="4">
        <v>255.79</v>
      </c>
      <c r="J181" s="14">
        <f t="shared" ca="1" si="4"/>
        <v>46275.421734837961</v>
      </c>
      <c r="K181" s="9">
        <f t="shared" si="5"/>
        <v>45717</v>
      </c>
    </row>
    <row r="182" spans="1:11" ht="15" thickBot="1" x14ac:dyDescent="0.35">
      <c r="A182" s="1" t="s">
        <v>51</v>
      </c>
      <c r="B182" s="2" t="s">
        <v>58</v>
      </c>
      <c r="C182" s="2" t="s">
        <v>23</v>
      </c>
      <c r="D182" s="2" t="s">
        <v>11</v>
      </c>
      <c r="E182" s="2">
        <v>499.18</v>
      </c>
      <c r="F182" s="2">
        <v>15</v>
      </c>
      <c r="G182" s="2">
        <v>0.2</v>
      </c>
      <c r="H182" s="3">
        <v>45724</v>
      </c>
      <c r="I182" s="4">
        <v>159.74</v>
      </c>
      <c r="J182" s="14">
        <f t="shared" ca="1" si="4"/>
        <v>46275.421734837961</v>
      </c>
      <c r="K182" s="9">
        <f t="shared" si="5"/>
        <v>45717</v>
      </c>
    </row>
    <row r="183" spans="1:11" ht="15" thickBot="1" x14ac:dyDescent="0.35">
      <c r="A183" s="1" t="s">
        <v>36</v>
      </c>
      <c r="B183" s="2" t="s">
        <v>37</v>
      </c>
      <c r="C183" s="2" t="s">
        <v>19</v>
      </c>
      <c r="D183" s="2" t="s">
        <v>11</v>
      </c>
      <c r="E183" s="2">
        <v>1064.19</v>
      </c>
      <c r="F183" s="2">
        <v>18</v>
      </c>
      <c r="G183" s="2">
        <v>0.05</v>
      </c>
      <c r="H183" s="3">
        <v>45725</v>
      </c>
      <c r="I183" s="4">
        <v>404.39</v>
      </c>
      <c r="J183" s="14">
        <f t="shared" ca="1" si="4"/>
        <v>46275.421734837961</v>
      </c>
      <c r="K183" s="9">
        <f t="shared" si="5"/>
        <v>45717</v>
      </c>
    </row>
    <row r="184" spans="1:11" ht="15" thickBot="1" x14ac:dyDescent="0.35">
      <c r="A184" s="1" t="s">
        <v>66</v>
      </c>
      <c r="B184" s="2" t="s">
        <v>37</v>
      </c>
      <c r="C184" s="2" t="s">
        <v>17</v>
      </c>
      <c r="D184" s="2" t="s">
        <v>38</v>
      </c>
      <c r="E184" s="2">
        <v>438.76</v>
      </c>
      <c r="F184" s="2">
        <v>18</v>
      </c>
      <c r="G184" s="2">
        <v>0.05</v>
      </c>
      <c r="H184" s="3">
        <v>45726</v>
      </c>
      <c r="I184" s="4">
        <v>187.57</v>
      </c>
      <c r="J184" s="14">
        <f t="shared" ca="1" si="4"/>
        <v>46275.421734837961</v>
      </c>
      <c r="K184" s="9">
        <f t="shared" si="5"/>
        <v>45717</v>
      </c>
    </row>
    <row r="185" spans="1:11" ht="15" thickBot="1" x14ac:dyDescent="0.35">
      <c r="A185" s="1" t="s">
        <v>40</v>
      </c>
      <c r="B185" s="2" t="s">
        <v>54</v>
      </c>
      <c r="C185" s="2" t="s">
        <v>10</v>
      </c>
      <c r="D185" s="2" t="s">
        <v>14</v>
      </c>
      <c r="E185" s="2">
        <v>864.98</v>
      </c>
      <c r="F185" s="2">
        <v>2</v>
      </c>
      <c r="G185" s="2">
        <v>0.05</v>
      </c>
      <c r="H185" s="3">
        <v>45727</v>
      </c>
      <c r="I185" s="4">
        <v>410.87</v>
      </c>
      <c r="J185" s="14">
        <f t="shared" ca="1" si="4"/>
        <v>46275.421734837961</v>
      </c>
      <c r="K185" s="9">
        <f t="shared" si="5"/>
        <v>45717</v>
      </c>
    </row>
    <row r="186" spans="1:11" ht="15" thickBot="1" x14ac:dyDescent="0.35">
      <c r="A186" s="1" t="s">
        <v>56</v>
      </c>
      <c r="B186" s="2" t="s">
        <v>54</v>
      </c>
      <c r="C186" s="2" t="s">
        <v>10</v>
      </c>
      <c r="D186" s="2" t="s">
        <v>26</v>
      </c>
      <c r="E186" s="2">
        <v>984.93</v>
      </c>
      <c r="F186" s="2">
        <v>14</v>
      </c>
      <c r="G186" s="2">
        <v>0.2</v>
      </c>
      <c r="H186" s="3">
        <v>45733</v>
      </c>
      <c r="I186" s="4">
        <v>275.77999999999997</v>
      </c>
      <c r="J186" s="14">
        <f t="shared" ca="1" si="4"/>
        <v>46275.421734837961</v>
      </c>
      <c r="K186" s="9">
        <f t="shared" si="5"/>
        <v>45717</v>
      </c>
    </row>
    <row r="187" spans="1:11" ht="15" thickBot="1" x14ac:dyDescent="0.35">
      <c r="A187" s="1" t="s">
        <v>24</v>
      </c>
      <c r="B187" s="2" t="s">
        <v>54</v>
      </c>
      <c r="C187" s="2" t="s">
        <v>10</v>
      </c>
      <c r="D187" s="2" t="s">
        <v>14</v>
      </c>
      <c r="E187" s="2">
        <v>1493.49</v>
      </c>
      <c r="F187" s="2">
        <v>18</v>
      </c>
      <c r="G187" s="2">
        <v>0</v>
      </c>
      <c r="H187" s="3">
        <v>45734</v>
      </c>
      <c r="I187" s="4">
        <v>746.74</v>
      </c>
      <c r="J187" s="14">
        <f t="shared" ca="1" si="4"/>
        <v>46275.421734837961</v>
      </c>
      <c r="K187" s="9">
        <f t="shared" si="5"/>
        <v>45717</v>
      </c>
    </row>
    <row r="188" spans="1:11" ht="15" thickBot="1" x14ac:dyDescent="0.35">
      <c r="A188" s="1" t="s">
        <v>31</v>
      </c>
      <c r="B188" s="2" t="s">
        <v>52</v>
      </c>
      <c r="C188" s="2" t="s">
        <v>19</v>
      </c>
      <c r="D188" s="2" t="s">
        <v>14</v>
      </c>
      <c r="E188" s="2">
        <v>689.43</v>
      </c>
      <c r="F188" s="2">
        <v>9</v>
      </c>
      <c r="G188" s="2">
        <v>0.1</v>
      </c>
      <c r="H188" s="3">
        <v>45736</v>
      </c>
      <c r="I188" s="4">
        <v>310.24</v>
      </c>
      <c r="J188" s="14">
        <f t="shared" ca="1" si="4"/>
        <v>46275.421734837961</v>
      </c>
      <c r="K188" s="9">
        <f t="shared" si="5"/>
        <v>45717</v>
      </c>
    </row>
    <row r="189" spans="1:11" ht="15" thickBot="1" x14ac:dyDescent="0.35">
      <c r="A189" s="1" t="s">
        <v>39</v>
      </c>
      <c r="B189" s="2" t="s">
        <v>58</v>
      </c>
      <c r="C189" s="2" t="s">
        <v>19</v>
      </c>
      <c r="D189" s="2" t="s">
        <v>14</v>
      </c>
      <c r="E189" s="2">
        <v>682.24</v>
      </c>
      <c r="F189" s="2">
        <v>1</v>
      </c>
      <c r="G189" s="2">
        <v>0</v>
      </c>
      <c r="H189" s="3">
        <v>45738</v>
      </c>
      <c r="I189" s="4">
        <v>341.12</v>
      </c>
      <c r="J189" s="14">
        <f t="shared" ca="1" si="4"/>
        <v>46275.421734837961</v>
      </c>
      <c r="K189" s="9">
        <f t="shared" si="5"/>
        <v>45717</v>
      </c>
    </row>
    <row r="190" spans="1:11" ht="15" thickBot="1" x14ac:dyDescent="0.35">
      <c r="A190" s="1" t="s">
        <v>40</v>
      </c>
      <c r="B190" s="2" t="s">
        <v>25</v>
      </c>
      <c r="C190" s="2" t="s">
        <v>23</v>
      </c>
      <c r="D190" s="2" t="s">
        <v>20</v>
      </c>
      <c r="E190" s="2">
        <v>458.54</v>
      </c>
      <c r="F190" s="2">
        <v>15</v>
      </c>
      <c r="G190" s="2">
        <v>0.2</v>
      </c>
      <c r="H190" s="3">
        <v>45741</v>
      </c>
      <c r="I190" s="4">
        <v>91.71</v>
      </c>
      <c r="J190" s="14">
        <f t="shared" ca="1" si="4"/>
        <v>46275.421734837961</v>
      </c>
      <c r="K190" s="9">
        <f t="shared" si="5"/>
        <v>45717</v>
      </c>
    </row>
    <row r="191" spans="1:11" ht="15" thickBot="1" x14ac:dyDescent="0.35">
      <c r="A191" s="1" t="s">
        <v>31</v>
      </c>
      <c r="B191" s="2" t="s">
        <v>25</v>
      </c>
      <c r="C191" s="2" t="s">
        <v>19</v>
      </c>
      <c r="D191" s="2" t="s">
        <v>26</v>
      </c>
      <c r="E191" s="2">
        <v>1184.25</v>
      </c>
      <c r="F191" s="2">
        <v>11</v>
      </c>
      <c r="G191" s="2">
        <v>0.2</v>
      </c>
      <c r="H191" s="3">
        <v>45742</v>
      </c>
      <c r="I191" s="4">
        <v>331.59</v>
      </c>
      <c r="J191" s="14">
        <f t="shared" ca="1" si="4"/>
        <v>46275.421734837961</v>
      </c>
      <c r="K191" s="9">
        <f t="shared" si="5"/>
        <v>45717</v>
      </c>
    </row>
    <row r="192" spans="1:11" ht="15" thickBot="1" x14ac:dyDescent="0.35">
      <c r="A192" s="1" t="s">
        <v>24</v>
      </c>
      <c r="B192" s="2" t="s">
        <v>9</v>
      </c>
      <c r="C192" s="2" t="s">
        <v>19</v>
      </c>
      <c r="D192" s="2" t="s">
        <v>14</v>
      </c>
      <c r="E192" s="2">
        <v>762.14</v>
      </c>
      <c r="F192" s="2">
        <v>9</v>
      </c>
      <c r="G192" s="2">
        <v>0</v>
      </c>
      <c r="H192" s="3">
        <v>45743</v>
      </c>
      <c r="I192" s="4">
        <v>381.07</v>
      </c>
      <c r="J192" s="14">
        <f t="shared" ca="1" si="4"/>
        <v>46275.421734837961</v>
      </c>
      <c r="K192" s="9">
        <f t="shared" si="5"/>
        <v>45717</v>
      </c>
    </row>
    <row r="193" spans="1:14" ht="15" thickBot="1" x14ac:dyDescent="0.35">
      <c r="A193" s="1" t="s">
        <v>21</v>
      </c>
      <c r="B193" s="2" t="s">
        <v>52</v>
      </c>
      <c r="C193" s="2" t="s">
        <v>23</v>
      </c>
      <c r="D193" s="2" t="s">
        <v>11</v>
      </c>
      <c r="E193" s="2">
        <v>750.71</v>
      </c>
      <c r="F193" s="2">
        <v>10</v>
      </c>
      <c r="G193" s="2">
        <v>0.15</v>
      </c>
      <c r="H193" s="3">
        <v>45743</v>
      </c>
      <c r="I193" s="4">
        <v>255.24</v>
      </c>
      <c r="J193" s="14">
        <f t="shared" ca="1" si="4"/>
        <v>46275.421734837961</v>
      </c>
      <c r="K193" s="9">
        <f t="shared" si="5"/>
        <v>45717</v>
      </c>
    </row>
    <row r="194" spans="1:14" ht="15" thickBot="1" x14ac:dyDescent="0.35">
      <c r="A194" s="1" t="s">
        <v>74</v>
      </c>
      <c r="B194" s="2" t="s">
        <v>70</v>
      </c>
      <c r="C194" s="2" t="s">
        <v>33</v>
      </c>
      <c r="D194" s="2" t="s">
        <v>14</v>
      </c>
      <c r="E194" s="2">
        <v>1456.94</v>
      </c>
      <c r="F194" s="2">
        <v>14</v>
      </c>
      <c r="G194" s="2">
        <v>0.05</v>
      </c>
      <c r="H194" s="3">
        <v>45745</v>
      </c>
      <c r="I194" s="4">
        <v>692.05</v>
      </c>
      <c r="J194" s="14">
        <f t="shared" ref="J194:J201" ca="1" si="6">NOW()</f>
        <v>46275.421734837961</v>
      </c>
      <c r="K194" s="9">
        <f t="shared" ref="K194:K201" si="7">DATE(YEAR(H194),MONTH(H194),1)</f>
        <v>45717</v>
      </c>
    </row>
    <row r="195" spans="1:14" ht="15" thickBot="1" x14ac:dyDescent="0.35">
      <c r="A195" s="1" t="s">
        <v>43</v>
      </c>
      <c r="B195" s="2" t="s">
        <v>60</v>
      </c>
      <c r="C195" s="2" t="s">
        <v>17</v>
      </c>
      <c r="D195" s="2" t="s">
        <v>26</v>
      </c>
      <c r="E195" s="2">
        <v>1093.3800000000001</v>
      </c>
      <c r="F195" s="2">
        <v>17</v>
      </c>
      <c r="G195" s="2">
        <v>0.1</v>
      </c>
      <c r="H195" s="3">
        <v>45745</v>
      </c>
      <c r="I195" s="4">
        <v>344.41</v>
      </c>
      <c r="J195" s="14">
        <f t="shared" ca="1" si="6"/>
        <v>46275.421734837961</v>
      </c>
      <c r="K195" s="9">
        <f t="shared" si="7"/>
        <v>45717</v>
      </c>
    </row>
    <row r="196" spans="1:14" ht="15" thickBot="1" x14ac:dyDescent="0.35">
      <c r="A196" s="1" t="s">
        <v>36</v>
      </c>
      <c r="B196" s="2" t="s">
        <v>42</v>
      </c>
      <c r="C196" s="2" t="s">
        <v>10</v>
      </c>
      <c r="D196" s="2" t="s">
        <v>14</v>
      </c>
      <c r="E196" s="2">
        <v>934.27</v>
      </c>
      <c r="F196" s="2">
        <v>8</v>
      </c>
      <c r="G196" s="2">
        <v>0.15</v>
      </c>
      <c r="H196" s="3">
        <v>45746</v>
      </c>
      <c r="I196" s="4">
        <v>397.06</v>
      </c>
      <c r="J196" s="14">
        <f t="shared" ca="1" si="6"/>
        <v>46275.421734837961</v>
      </c>
      <c r="K196" s="9">
        <f t="shared" si="7"/>
        <v>45717</v>
      </c>
    </row>
    <row r="197" spans="1:14" ht="15" thickBot="1" x14ac:dyDescent="0.35">
      <c r="A197" s="1" t="s">
        <v>69</v>
      </c>
      <c r="B197" s="2" t="s">
        <v>35</v>
      </c>
      <c r="C197" s="2" t="s">
        <v>33</v>
      </c>
      <c r="D197" s="2" t="s">
        <v>14</v>
      </c>
      <c r="E197" s="2">
        <v>1465.35</v>
      </c>
      <c r="F197" s="2">
        <v>8</v>
      </c>
      <c r="G197" s="2">
        <v>0.2</v>
      </c>
      <c r="H197" s="3">
        <v>45746</v>
      </c>
      <c r="I197" s="4">
        <v>586.14</v>
      </c>
      <c r="J197" s="14">
        <f t="shared" ca="1" si="6"/>
        <v>46275.421734837961</v>
      </c>
      <c r="K197" s="9">
        <f t="shared" si="7"/>
        <v>45717</v>
      </c>
    </row>
    <row r="198" spans="1:14" ht="15" thickBot="1" x14ac:dyDescent="0.35">
      <c r="A198" s="1" t="s">
        <v>51</v>
      </c>
      <c r="B198" s="2" t="s">
        <v>13</v>
      </c>
      <c r="C198" s="2" t="s">
        <v>19</v>
      </c>
      <c r="D198" s="2" t="s">
        <v>38</v>
      </c>
      <c r="E198" s="2">
        <v>740.8</v>
      </c>
      <c r="F198" s="2">
        <v>3</v>
      </c>
      <c r="G198" s="2">
        <v>0</v>
      </c>
      <c r="H198" s="3">
        <v>45749</v>
      </c>
      <c r="I198" s="4">
        <v>333.36</v>
      </c>
      <c r="J198" s="14">
        <f t="shared" ca="1" si="6"/>
        <v>46275.421734837961</v>
      </c>
      <c r="K198" s="9">
        <f t="shared" si="7"/>
        <v>45748</v>
      </c>
    </row>
    <row r="199" spans="1:14" ht="15" thickBot="1" x14ac:dyDescent="0.35">
      <c r="A199" s="1" t="s">
        <v>57</v>
      </c>
      <c r="B199" s="2" t="s">
        <v>42</v>
      </c>
      <c r="C199" s="2" t="s">
        <v>10</v>
      </c>
      <c r="D199" s="2" t="s">
        <v>38</v>
      </c>
      <c r="E199" s="2">
        <v>545.44000000000005</v>
      </c>
      <c r="F199" s="2">
        <v>17</v>
      </c>
      <c r="G199" s="2">
        <v>0</v>
      </c>
      <c r="H199" s="3">
        <v>45752</v>
      </c>
      <c r="I199" s="4">
        <v>245.45</v>
      </c>
      <c r="J199" s="14">
        <f t="shared" ca="1" si="6"/>
        <v>46275.421734837961</v>
      </c>
      <c r="K199" s="9">
        <f t="shared" si="7"/>
        <v>45748</v>
      </c>
    </row>
    <row r="200" spans="1:14" ht="15" thickBot="1" x14ac:dyDescent="0.35">
      <c r="A200" s="1" t="s">
        <v>34</v>
      </c>
      <c r="B200" s="2" t="s">
        <v>35</v>
      </c>
      <c r="C200" s="2" t="s">
        <v>17</v>
      </c>
      <c r="D200" s="2" t="s">
        <v>11</v>
      </c>
      <c r="E200" s="2">
        <v>997.61</v>
      </c>
      <c r="F200" s="2">
        <v>8</v>
      </c>
      <c r="G200" s="2">
        <v>0.05</v>
      </c>
      <c r="H200" s="3">
        <v>45752</v>
      </c>
      <c r="I200" s="4">
        <v>379.09</v>
      </c>
      <c r="J200" s="14">
        <f t="shared" ca="1" si="6"/>
        <v>46275.421734837961</v>
      </c>
      <c r="K200" s="9">
        <f t="shared" si="7"/>
        <v>45748</v>
      </c>
    </row>
    <row r="201" spans="1:14" ht="15" thickBot="1" x14ac:dyDescent="0.35">
      <c r="A201" s="5" t="s">
        <v>59</v>
      </c>
      <c r="B201" s="6" t="s">
        <v>35</v>
      </c>
      <c r="C201" s="6" t="s">
        <v>19</v>
      </c>
      <c r="D201" s="6" t="s">
        <v>14</v>
      </c>
      <c r="E201" s="6">
        <v>928.32</v>
      </c>
      <c r="F201" s="6">
        <v>2</v>
      </c>
      <c r="G201" s="6">
        <v>0.05</v>
      </c>
      <c r="H201" s="7">
        <v>45754</v>
      </c>
      <c r="I201" s="8">
        <v>440.95</v>
      </c>
      <c r="J201" s="14">
        <f t="shared" ca="1" si="6"/>
        <v>46275.421734837961</v>
      </c>
      <c r="K201" s="9">
        <f t="shared" si="7"/>
        <v>45748</v>
      </c>
    </row>
    <row r="202" spans="1:14" ht="15" thickBot="1" x14ac:dyDescent="0.35"/>
    <row r="203" spans="1:14" ht="15" thickBot="1" x14ac:dyDescent="0.35">
      <c r="N203"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6806-428F-4824-807A-65A65672AA72}">
  <dimension ref="A1:G31"/>
  <sheetViews>
    <sheetView zoomScale="115" zoomScaleNormal="115" workbookViewId="0">
      <selection activeCell="C13" sqref="C13"/>
    </sheetView>
  </sheetViews>
  <sheetFormatPr defaultRowHeight="14.4" x14ac:dyDescent="0.3"/>
  <cols>
    <col min="1" max="1" width="11.33203125" customWidth="1"/>
    <col min="2" max="2" width="20.6640625" customWidth="1"/>
    <col min="3" max="3" width="24.5546875" customWidth="1"/>
    <col min="4" max="4" width="13.6640625" customWidth="1"/>
    <col min="5" max="5" width="14.77734375" customWidth="1"/>
    <col min="6" max="6" width="10.88671875" customWidth="1"/>
    <col min="7" max="7" width="14.33203125" customWidth="1"/>
  </cols>
  <sheetData>
    <row r="1" spans="1:7" ht="27.6" x14ac:dyDescent="0.3">
      <c r="A1" s="22" t="s">
        <v>84</v>
      </c>
      <c r="B1" s="23" t="s">
        <v>78</v>
      </c>
      <c r="C1" s="23" t="s">
        <v>79</v>
      </c>
      <c r="D1" s="23" t="s">
        <v>80</v>
      </c>
      <c r="E1" s="23" t="s">
        <v>81</v>
      </c>
      <c r="F1" s="23" t="s">
        <v>82</v>
      </c>
      <c r="G1" s="24" t="s">
        <v>83</v>
      </c>
    </row>
    <row r="2" spans="1:7" x14ac:dyDescent="0.3">
      <c r="A2" s="20" t="s">
        <v>71</v>
      </c>
      <c r="B2" s="18" t="s">
        <v>70</v>
      </c>
      <c r="C2" s="19">
        <f>SUMIF(data!$B$2:$B$201, B2,data!$E$2:$E$201)</f>
        <v>5465.71</v>
      </c>
      <c r="D2" s="19">
        <f>SUMIF(data!$B$2:$B$201,B2,data!$I$2:$I$201)</f>
        <v>1937.8500000000001</v>
      </c>
      <c r="E2" s="18">
        <f>COUNTIF(data!$B$2:$B$201,B2)</f>
        <v>6</v>
      </c>
      <c r="F2" s="18">
        <f t="shared" ref="F2:F28" si="0">RANK(C2,$C$2:$C$28)</f>
        <v>19</v>
      </c>
      <c r="G2" s="21" t="str">
        <f t="shared" ref="G2:G28" si="1">IF(F2&lt;=10,"Yes","No")</f>
        <v>No</v>
      </c>
    </row>
    <row r="3" spans="1:7" x14ac:dyDescent="0.3">
      <c r="A3" s="20" t="s">
        <v>56</v>
      </c>
      <c r="B3" s="18" t="s">
        <v>54</v>
      </c>
      <c r="C3" s="19">
        <f>SUMIF(data!$B$2:$B$201, B3,data!$E$2:$E$201)</f>
        <v>11915.829999999998</v>
      </c>
      <c r="D3" s="19">
        <f>SUMIF(data!$B$2:$B$201,B3,data!$I$2:$I$201)</f>
        <v>4061.91</v>
      </c>
      <c r="E3" s="18">
        <f>COUNTIF(data!$B$2:$B$201,B3)</f>
        <v>13</v>
      </c>
      <c r="F3" s="18">
        <f t="shared" si="0"/>
        <v>3</v>
      </c>
      <c r="G3" s="21" t="str">
        <f t="shared" si="1"/>
        <v>Yes</v>
      </c>
    </row>
    <row r="4" spans="1:7" x14ac:dyDescent="0.3">
      <c r="A4" s="20" t="s">
        <v>57</v>
      </c>
      <c r="B4" s="18" t="s">
        <v>55</v>
      </c>
      <c r="C4" s="19">
        <f>SUMIF(data!$B$2:$B$201, B4,data!$E$2:$E$201)</f>
        <v>3819.1400000000003</v>
      </c>
      <c r="D4" s="19">
        <f>SUMIF(data!$B$2:$B$201,B4,data!$I$2:$I$201)</f>
        <v>1273.1899999999998</v>
      </c>
      <c r="E4" s="18">
        <f>COUNTIF(data!$B$2:$B$201,B4)</f>
        <v>4</v>
      </c>
      <c r="F4" s="18">
        <f t="shared" si="0"/>
        <v>23</v>
      </c>
      <c r="G4" s="21" t="str">
        <f t="shared" si="1"/>
        <v>No</v>
      </c>
    </row>
    <row r="5" spans="1:7" x14ac:dyDescent="0.3">
      <c r="A5" s="20" t="s">
        <v>36</v>
      </c>
      <c r="B5" s="18" t="s">
        <v>41</v>
      </c>
      <c r="C5" s="19">
        <f>SUMIF(data!$B$2:$B$201, B5,data!$E$2:$E$201)</f>
        <v>1672.88</v>
      </c>
      <c r="D5" s="19">
        <f>SUMIF(data!$B$2:$B$201,B5,data!$I$2:$I$201)</f>
        <v>569.64</v>
      </c>
      <c r="E5" s="18">
        <f>COUNTIF(data!$B$2:$B$201,B5)</f>
        <v>2</v>
      </c>
      <c r="F5" s="18">
        <f t="shared" si="0"/>
        <v>25</v>
      </c>
      <c r="G5" s="21" t="str">
        <f t="shared" si="1"/>
        <v>No</v>
      </c>
    </row>
    <row r="6" spans="1:7" x14ac:dyDescent="0.3">
      <c r="A6" s="20" t="s">
        <v>31</v>
      </c>
      <c r="B6" s="18" t="s">
        <v>35</v>
      </c>
      <c r="C6" s="19">
        <f>SUMIF(data!$B$2:$B$201, B6,data!$E$2:$E$201)</f>
        <v>7020.3799999999992</v>
      </c>
      <c r="D6" s="19">
        <f>SUMIF(data!$B$2:$B$201,B6,data!$I$2:$I$201)</f>
        <v>2919.45</v>
      </c>
      <c r="E6" s="18">
        <f>COUNTIF(data!$B$2:$B$201,B6)</f>
        <v>7</v>
      </c>
      <c r="F6" s="18">
        <f t="shared" si="0"/>
        <v>14</v>
      </c>
      <c r="G6" s="21" t="str">
        <f t="shared" si="1"/>
        <v>No</v>
      </c>
    </row>
    <row r="7" spans="1:7" x14ac:dyDescent="0.3">
      <c r="A7" s="20" t="s">
        <v>34</v>
      </c>
      <c r="B7" s="18" t="s">
        <v>37</v>
      </c>
      <c r="C7" s="19">
        <f>SUMIF(data!$B$2:$B$201, B7,data!$E$2:$E$201)</f>
        <v>11398.32</v>
      </c>
      <c r="D7" s="19">
        <f>SUMIF(data!$B$2:$B$201,B7,data!$I$2:$I$201)</f>
        <v>3846.93</v>
      </c>
      <c r="E7" s="18">
        <f>COUNTIF(data!$B$2:$B$201,B7)</f>
        <v>12</v>
      </c>
      <c r="F7" s="18">
        <f t="shared" si="0"/>
        <v>4</v>
      </c>
      <c r="G7" s="21" t="str">
        <f t="shared" si="1"/>
        <v>Yes</v>
      </c>
    </row>
    <row r="8" spans="1:7" x14ac:dyDescent="0.3">
      <c r="A8" s="20" t="s">
        <v>67</v>
      </c>
      <c r="B8" s="18" t="s">
        <v>65</v>
      </c>
      <c r="C8" s="19">
        <f>SUMIF(data!$B$2:$B$201, B8,data!$E$2:$E$201)</f>
        <v>5014.96</v>
      </c>
      <c r="D8" s="19">
        <f>SUMIF(data!$B$2:$B$201,B8,data!$I$2:$I$201)</f>
        <v>1909.5700000000002</v>
      </c>
      <c r="E8" s="18">
        <f>COUNTIF(data!$B$2:$B$201,B8)</f>
        <v>5</v>
      </c>
      <c r="F8" s="18">
        <f t="shared" si="0"/>
        <v>21</v>
      </c>
      <c r="G8" s="21" t="str">
        <f t="shared" si="1"/>
        <v>No</v>
      </c>
    </row>
    <row r="9" spans="1:7" x14ac:dyDescent="0.3">
      <c r="A9" s="20" t="s">
        <v>62</v>
      </c>
      <c r="B9" s="18" t="s">
        <v>60</v>
      </c>
      <c r="C9" s="19">
        <f>SUMIF(data!$B$2:$B$201, B9,data!$E$2:$E$201)</f>
        <v>8543.9699999999993</v>
      </c>
      <c r="D9" s="19">
        <f>SUMIF(data!$B$2:$B$201,B9,data!$I$2:$I$201)</f>
        <v>2718.8399999999997</v>
      </c>
      <c r="E9" s="18">
        <f>COUNTIF(data!$B$2:$B$201,B9)</f>
        <v>8</v>
      </c>
      <c r="F9" s="18">
        <f t="shared" si="0"/>
        <v>7</v>
      </c>
      <c r="G9" s="21" t="str">
        <f t="shared" si="1"/>
        <v>Yes</v>
      </c>
    </row>
    <row r="10" spans="1:7" x14ac:dyDescent="0.3">
      <c r="A10" s="20" t="s">
        <v>8</v>
      </c>
      <c r="B10" s="18" t="s">
        <v>9</v>
      </c>
      <c r="C10" s="19">
        <f>SUMIF(data!$B$2:$B$201, B10,data!$E$2:$E$201)</f>
        <v>6255.7</v>
      </c>
      <c r="D10" s="19">
        <f>SUMIF(data!$B$2:$B$201,B10,data!$I$2:$I$201)</f>
        <v>2122.8200000000002</v>
      </c>
      <c r="E10" s="18">
        <f>COUNTIF(data!$B$2:$B$201,B10)</f>
        <v>6</v>
      </c>
      <c r="F10" s="18">
        <f t="shared" si="0"/>
        <v>15</v>
      </c>
      <c r="G10" s="21" t="str">
        <f t="shared" si="1"/>
        <v>No</v>
      </c>
    </row>
    <row r="11" spans="1:7" x14ac:dyDescent="0.3">
      <c r="A11" s="20" t="s">
        <v>15</v>
      </c>
      <c r="B11" s="18" t="s">
        <v>16</v>
      </c>
      <c r="C11" s="19">
        <f>SUMIF(data!$B$2:$B$201, B11,data!$E$2:$E$201)</f>
        <v>5615.2800000000007</v>
      </c>
      <c r="D11" s="19">
        <f>SUMIF(data!$B$2:$B$201,B11,data!$I$2:$I$201)</f>
        <v>2203.6800000000003</v>
      </c>
      <c r="E11" s="18">
        <f>COUNTIF(data!$B$2:$B$201,B11)</f>
        <v>6</v>
      </c>
      <c r="F11" s="18">
        <f t="shared" si="0"/>
        <v>18</v>
      </c>
      <c r="G11" s="21" t="str">
        <f t="shared" si="1"/>
        <v>No</v>
      </c>
    </row>
    <row r="12" spans="1:7" x14ac:dyDescent="0.3">
      <c r="A12" s="20" t="s">
        <v>18</v>
      </c>
      <c r="B12" s="18" t="s">
        <v>22</v>
      </c>
      <c r="C12" s="19">
        <f>SUMIF(data!$B$2:$B$201, B12,data!$E$2:$E$201)</f>
        <v>20774.739999999998</v>
      </c>
      <c r="D12" s="19">
        <f>SUMIF(data!$B$2:$B$201,B12,data!$I$2:$I$201)</f>
        <v>7077.9199999999992</v>
      </c>
      <c r="E12" s="18">
        <f>COUNTIF(data!$B$2:$B$201,B12)</f>
        <v>20</v>
      </c>
      <c r="F12" s="18">
        <f t="shared" si="0"/>
        <v>1</v>
      </c>
      <c r="G12" s="21" t="str">
        <f t="shared" si="1"/>
        <v>Yes</v>
      </c>
    </row>
    <row r="13" spans="1:7" x14ac:dyDescent="0.3">
      <c r="A13" s="20" t="s">
        <v>51</v>
      </c>
      <c r="B13" s="18" t="s">
        <v>50</v>
      </c>
      <c r="C13" s="19">
        <f>SUMIF(data!$B$2:$B$201, B13,data!$E$2:$E$201)</f>
        <v>1450.99</v>
      </c>
      <c r="D13" s="19">
        <f>SUMIF(data!$B$2:$B$201,B13,data!$I$2:$I$201)</f>
        <v>410.91999999999996</v>
      </c>
      <c r="E13" s="18">
        <f>COUNTIF(data!$B$2:$B$201,B13)</f>
        <v>2</v>
      </c>
      <c r="F13" s="18">
        <f t="shared" si="0"/>
        <v>26</v>
      </c>
      <c r="G13" s="21" t="str">
        <f t="shared" si="1"/>
        <v>No</v>
      </c>
    </row>
    <row r="14" spans="1:7" x14ac:dyDescent="0.3">
      <c r="A14" s="20" t="s">
        <v>48</v>
      </c>
      <c r="B14" s="18" t="s">
        <v>49</v>
      </c>
      <c r="C14" s="19">
        <f>SUMIF(data!$B$2:$B$201, B14,data!$E$2:$E$201)</f>
        <v>5801.29</v>
      </c>
      <c r="D14" s="19">
        <f>SUMIF(data!$B$2:$B$201,B14,data!$I$2:$I$201)</f>
        <v>1885.71</v>
      </c>
      <c r="E14" s="18">
        <f>COUNTIF(data!$B$2:$B$201,B14)</f>
        <v>5</v>
      </c>
      <c r="F14" s="18">
        <f t="shared" si="0"/>
        <v>16</v>
      </c>
      <c r="G14" s="21" t="str">
        <f t="shared" si="1"/>
        <v>No</v>
      </c>
    </row>
    <row r="15" spans="1:7" x14ac:dyDescent="0.3">
      <c r="A15" s="20" t="s">
        <v>64</v>
      </c>
      <c r="B15" s="18" t="s">
        <v>61</v>
      </c>
      <c r="C15" s="19">
        <f>SUMIF(data!$B$2:$B$201, B15,data!$E$2:$E$201)</f>
        <v>856.7</v>
      </c>
      <c r="D15" s="19">
        <f>SUMIF(data!$B$2:$B$201,B15,data!$I$2:$I$201)</f>
        <v>214.18</v>
      </c>
      <c r="E15" s="18">
        <f>COUNTIF(data!$B$2:$B$201,B15)</f>
        <v>1</v>
      </c>
      <c r="F15" s="18">
        <f t="shared" si="0"/>
        <v>27</v>
      </c>
      <c r="G15" s="21" t="str">
        <f t="shared" si="1"/>
        <v>No</v>
      </c>
    </row>
    <row r="16" spans="1:7" x14ac:dyDescent="0.3">
      <c r="A16" s="20" t="s">
        <v>29</v>
      </c>
      <c r="B16" s="18" t="s">
        <v>32</v>
      </c>
      <c r="C16" s="19">
        <f>SUMIF(data!$B$2:$B$201, B16,data!$E$2:$E$201)</f>
        <v>3968.59</v>
      </c>
      <c r="D16" s="19">
        <f>SUMIF(data!$B$2:$B$201,B16,data!$I$2:$I$201)</f>
        <v>1386.78</v>
      </c>
      <c r="E16" s="18">
        <f>COUNTIF(data!$B$2:$B$201,B16)</f>
        <v>4</v>
      </c>
      <c r="F16" s="18">
        <f t="shared" si="0"/>
        <v>22</v>
      </c>
      <c r="G16" s="21" t="str">
        <f t="shared" si="1"/>
        <v>No</v>
      </c>
    </row>
    <row r="17" spans="1:7" x14ac:dyDescent="0.3">
      <c r="A17" s="20" t="s">
        <v>69</v>
      </c>
      <c r="B17" s="18" t="s">
        <v>68</v>
      </c>
      <c r="C17" s="19">
        <f>SUMIF(data!$B$2:$B$201, B17,data!$E$2:$E$201)</f>
        <v>2304.9</v>
      </c>
      <c r="D17" s="19">
        <f>SUMIF(data!$B$2:$B$201,B17,data!$I$2:$I$201)</f>
        <v>1020.72</v>
      </c>
      <c r="E17" s="18">
        <f>COUNTIF(data!$B$2:$B$201,B17)</f>
        <v>3</v>
      </c>
      <c r="F17" s="18">
        <f t="shared" si="0"/>
        <v>24</v>
      </c>
      <c r="G17" s="21" t="str">
        <f t="shared" si="1"/>
        <v>No</v>
      </c>
    </row>
    <row r="18" spans="1:7" x14ac:dyDescent="0.3">
      <c r="A18" s="20" t="s">
        <v>53</v>
      </c>
      <c r="B18" s="18" t="s">
        <v>52</v>
      </c>
      <c r="C18" s="19">
        <f>SUMIF(data!$B$2:$B$201, B18,data!$E$2:$E$201)</f>
        <v>7522.77</v>
      </c>
      <c r="D18" s="19">
        <f>SUMIF(data!$B$2:$B$201,B18,data!$I$2:$I$201)</f>
        <v>2912.54</v>
      </c>
      <c r="E18" s="18">
        <f>COUNTIF(data!$B$2:$B$201,B18)</f>
        <v>7</v>
      </c>
      <c r="F18" s="18">
        <f t="shared" si="0"/>
        <v>11</v>
      </c>
      <c r="G18" s="21" t="str">
        <f t="shared" si="1"/>
        <v>No</v>
      </c>
    </row>
    <row r="19" spans="1:7" x14ac:dyDescent="0.3">
      <c r="A19" s="20" t="s">
        <v>24</v>
      </c>
      <c r="B19" s="18" t="s">
        <v>28</v>
      </c>
      <c r="C19" s="19">
        <f>SUMIF(data!$B$2:$B$201, B19,data!$E$2:$E$201)</f>
        <v>9970.1999999999989</v>
      </c>
      <c r="D19" s="19">
        <f>SUMIF(data!$B$2:$B$201,B19,data!$I$2:$I$201)</f>
        <v>3241.1099999999997</v>
      </c>
      <c r="E19" s="18">
        <f>COUNTIF(data!$B$2:$B$201,B19)</f>
        <v>9</v>
      </c>
      <c r="F19" s="18">
        <f t="shared" si="0"/>
        <v>5</v>
      </c>
      <c r="G19" s="21" t="str">
        <f t="shared" si="1"/>
        <v>Yes</v>
      </c>
    </row>
    <row r="20" spans="1:7" x14ac:dyDescent="0.3">
      <c r="A20" s="20" t="s">
        <v>45</v>
      </c>
      <c r="B20" s="18" t="s">
        <v>47</v>
      </c>
      <c r="C20" s="19">
        <f>SUMIF(data!$B$2:$B$201, B20,data!$E$2:$E$201)</f>
        <v>8090.12</v>
      </c>
      <c r="D20" s="19">
        <f>SUMIF(data!$B$2:$B$201,B20,data!$I$2:$I$201)</f>
        <v>2918.14</v>
      </c>
      <c r="E20" s="18">
        <f>COUNTIF(data!$B$2:$B$201,B20)</f>
        <v>9</v>
      </c>
      <c r="F20" s="18">
        <f t="shared" si="0"/>
        <v>9</v>
      </c>
      <c r="G20" s="21" t="str">
        <f t="shared" si="1"/>
        <v>Yes</v>
      </c>
    </row>
    <row r="21" spans="1:7" x14ac:dyDescent="0.3">
      <c r="A21" s="20" t="s">
        <v>40</v>
      </c>
      <c r="B21" s="18" t="s">
        <v>44</v>
      </c>
      <c r="C21" s="19">
        <f>SUMIF(data!$B$2:$B$201, B21,data!$E$2:$E$201)</f>
        <v>8635.9500000000007</v>
      </c>
      <c r="D21" s="19">
        <f>SUMIF(data!$B$2:$B$201,B21,data!$I$2:$I$201)</f>
        <v>3074.45</v>
      </c>
      <c r="E21" s="18">
        <f>COUNTIF(data!$B$2:$B$201,B21)</f>
        <v>10</v>
      </c>
      <c r="F21" s="18">
        <f t="shared" si="0"/>
        <v>6</v>
      </c>
      <c r="G21" s="21" t="str">
        <f t="shared" si="1"/>
        <v>Yes</v>
      </c>
    </row>
    <row r="22" spans="1:7" x14ac:dyDescent="0.3">
      <c r="A22" s="20" t="s">
        <v>27</v>
      </c>
      <c r="B22" s="18" t="s">
        <v>30</v>
      </c>
      <c r="C22" s="19">
        <f>SUMIF(data!$B$2:$B$201, B22,data!$E$2:$E$201)</f>
        <v>17143.289999999997</v>
      </c>
      <c r="D22" s="19">
        <f>SUMIF(data!$B$2:$B$201,B22,data!$I$2:$I$201)</f>
        <v>6553.7899999999991</v>
      </c>
      <c r="E22" s="18">
        <f>COUNTIF(data!$B$2:$B$201,B22)</f>
        <v>17</v>
      </c>
      <c r="F22" s="18">
        <f t="shared" si="0"/>
        <v>2</v>
      </c>
      <c r="G22" s="21" t="str">
        <f t="shared" si="1"/>
        <v>Yes</v>
      </c>
    </row>
    <row r="23" spans="1:7" x14ac:dyDescent="0.3">
      <c r="A23" s="20" t="s">
        <v>43</v>
      </c>
      <c r="B23" s="18" t="s">
        <v>46</v>
      </c>
      <c r="C23" s="19">
        <f>SUMIF(data!$B$2:$B$201, B23,data!$E$2:$E$201)</f>
        <v>7251.18</v>
      </c>
      <c r="D23" s="19">
        <f>SUMIF(data!$B$2:$B$201,B23,data!$I$2:$I$201)</f>
        <v>2339.64</v>
      </c>
      <c r="E23" s="18">
        <f>COUNTIF(data!$B$2:$B$201,B23)</f>
        <v>6</v>
      </c>
      <c r="F23" s="18">
        <f t="shared" si="0"/>
        <v>13</v>
      </c>
      <c r="G23" s="21" t="str">
        <f t="shared" si="1"/>
        <v>No</v>
      </c>
    </row>
    <row r="24" spans="1:7" x14ac:dyDescent="0.3">
      <c r="A24" s="20" t="s">
        <v>59</v>
      </c>
      <c r="B24" s="18" t="s">
        <v>58</v>
      </c>
      <c r="C24" s="19">
        <f>SUMIF(data!$B$2:$B$201, B24,data!$E$2:$E$201)</f>
        <v>5443.34</v>
      </c>
      <c r="D24" s="19">
        <f>SUMIF(data!$B$2:$B$201,B24,data!$I$2:$I$201)</f>
        <v>2285.64</v>
      </c>
      <c r="E24" s="18">
        <f>COUNTIF(data!$B$2:$B$201,B24)</f>
        <v>6</v>
      </c>
      <c r="F24" s="18">
        <f t="shared" si="0"/>
        <v>20</v>
      </c>
      <c r="G24" s="21" t="str">
        <f t="shared" si="1"/>
        <v>No</v>
      </c>
    </row>
    <row r="25" spans="1:7" x14ac:dyDescent="0.3">
      <c r="A25" s="20" t="s">
        <v>21</v>
      </c>
      <c r="B25" s="18" t="s">
        <v>25</v>
      </c>
      <c r="C25" s="19">
        <f>SUMIF(data!$B$2:$B$201, B25,data!$E$2:$E$201)</f>
        <v>7881.9</v>
      </c>
      <c r="D25" s="19">
        <f>SUMIF(data!$B$2:$B$201,B25,data!$I$2:$I$201)</f>
        <v>2535.5100000000002</v>
      </c>
      <c r="E25" s="18">
        <f>COUNTIF(data!$B$2:$B$201,B25)</f>
        <v>8</v>
      </c>
      <c r="F25" s="18">
        <f t="shared" si="0"/>
        <v>10</v>
      </c>
      <c r="G25" s="21" t="str">
        <f t="shared" si="1"/>
        <v>Yes</v>
      </c>
    </row>
    <row r="26" spans="1:7" x14ac:dyDescent="0.3">
      <c r="A26" s="20" t="s">
        <v>12</v>
      </c>
      <c r="B26" s="18" t="s">
        <v>13</v>
      </c>
      <c r="C26" s="19">
        <f>SUMIF(data!$B$2:$B$201, B26,data!$E$2:$E$201)</f>
        <v>8331.8499999999985</v>
      </c>
      <c r="D26" s="19">
        <f>SUMIF(data!$B$2:$B$201,B26,data!$I$2:$I$201)</f>
        <v>2765.53</v>
      </c>
      <c r="E26" s="18">
        <f>COUNTIF(data!$B$2:$B$201,B26)</f>
        <v>10</v>
      </c>
      <c r="F26" s="18">
        <f t="shared" si="0"/>
        <v>8</v>
      </c>
      <c r="G26" s="21" t="str">
        <f t="shared" si="1"/>
        <v>Yes</v>
      </c>
    </row>
    <row r="27" spans="1:7" x14ac:dyDescent="0.3">
      <c r="A27" s="20" t="s">
        <v>39</v>
      </c>
      <c r="B27" s="18" t="s">
        <v>42</v>
      </c>
      <c r="C27" s="19">
        <f>SUMIF(data!$B$2:$B$201, B27,data!$E$2:$E$201)</f>
        <v>7296.1900000000005</v>
      </c>
      <c r="D27" s="19">
        <f>SUMIF(data!$B$2:$B$201,B27,data!$I$2:$I$201)</f>
        <v>2060.81</v>
      </c>
      <c r="E27" s="18">
        <f>COUNTIF(data!$B$2:$B$201,B27)</f>
        <v>8</v>
      </c>
      <c r="F27" s="18">
        <f t="shared" si="0"/>
        <v>12</v>
      </c>
      <c r="G27" s="21" t="str">
        <f t="shared" si="1"/>
        <v>No</v>
      </c>
    </row>
    <row r="28" spans="1:7" x14ac:dyDescent="0.3">
      <c r="A28" s="25" t="s">
        <v>66</v>
      </c>
      <c r="B28" s="26" t="s">
        <v>63</v>
      </c>
      <c r="C28" s="19">
        <f>SUMIF(data!$B$2:$B$201, B28,data!$E$2:$E$201)</f>
        <v>5771.59</v>
      </c>
      <c r="D28" s="19">
        <f>SUMIF(data!$B$2:$B$201,B28,data!$I$2:$I$201)</f>
        <v>2039.74</v>
      </c>
      <c r="E28" s="18">
        <f>COUNTIF(data!$B$2:$B$201,B28)</f>
        <v>6</v>
      </c>
      <c r="F28" s="18">
        <f t="shared" si="0"/>
        <v>17</v>
      </c>
      <c r="G28" s="27" t="str">
        <f t="shared" si="1"/>
        <v>No</v>
      </c>
    </row>
    <row r="29" spans="1:7" x14ac:dyDescent="0.3">
      <c r="A29" s="16"/>
      <c r="B29" s="16"/>
      <c r="C29" s="17"/>
      <c r="D29" s="17"/>
      <c r="E29" s="16"/>
      <c r="F29" s="16"/>
      <c r="G29" s="16"/>
    </row>
    <row r="30" spans="1:7" x14ac:dyDescent="0.3">
      <c r="A30" s="16"/>
      <c r="B30" s="16"/>
      <c r="C30" s="17"/>
      <c r="D30" s="17"/>
      <c r="E30" s="16"/>
      <c r="F30" s="16"/>
      <c r="G30" s="16"/>
    </row>
    <row r="31" spans="1:7" x14ac:dyDescent="0.3">
      <c r="A31" s="16"/>
      <c r="B31" s="16"/>
      <c r="C31" s="17"/>
      <c r="D31" s="17"/>
      <c r="E31" s="16"/>
      <c r="F31" s="16"/>
      <c r="G31" s="16"/>
    </row>
  </sheetData>
  <conditionalFormatting sqref="A2:G31">
    <cfRule type="expression" dxfId="1" priority="1">
      <formula>$G2="Yes"</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18CB-929B-4894-ADC4-E61243E78261}">
  <dimension ref="A1:I17"/>
  <sheetViews>
    <sheetView zoomScale="85" zoomScaleNormal="85" workbookViewId="0">
      <selection activeCell="D22" sqref="D22"/>
    </sheetView>
  </sheetViews>
  <sheetFormatPr defaultRowHeight="14.4" x14ac:dyDescent="0.3"/>
  <cols>
    <col min="1" max="1" width="32" bestFit="1" customWidth="1"/>
    <col min="2" max="2" width="15.6640625" customWidth="1"/>
    <col min="4" max="4" width="26.44140625" customWidth="1"/>
    <col min="5" max="5" width="26.33203125" customWidth="1"/>
    <col min="7" max="7" width="15.77734375" customWidth="1"/>
    <col min="8" max="8" width="21" bestFit="1" customWidth="1"/>
    <col min="9" max="9" width="19.44140625" bestFit="1" customWidth="1"/>
  </cols>
  <sheetData>
    <row r="1" spans="1:9" x14ac:dyDescent="0.3">
      <c r="B1" s="55" t="s">
        <v>133</v>
      </c>
      <c r="C1" s="55"/>
      <c r="D1" s="55"/>
      <c r="E1" s="55"/>
      <c r="F1" s="55"/>
      <c r="G1" s="55"/>
      <c r="H1" s="55"/>
    </row>
    <row r="2" spans="1:9" ht="14.4" customHeight="1" x14ac:dyDescent="0.3">
      <c r="B2" s="55"/>
      <c r="C2" s="55"/>
      <c r="D2" s="55"/>
      <c r="E2" s="55"/>
      <c r="F2" s="55"/>
      <c r="G2" s="55"/>
      <c r="H2" s="55"/>
    </row>
    <row r="3" spans="1:9" ht="14.4" hidden="1" customHeight="1" x14ac:dyDescent="0.3">
      <c r="B3" s="55"/>
      <c r="C3" s="55"/>
      <c r="D3" s="55"/>
      <c r="E3" s="55"/>
      <c r="F3" s="55"/>
      <c r="G3" s="55"/>
      <c r="H3" s="55"/>
    </row>
    <row r="4" spans="1:9" x14ac:dyDescent="0.3">
      <c r="B4" s="55"/>
      <c r="C4" s="55"/>
      <c r="D4" s="55"/>
      <c r="E4" s="55"/>
      <c r="F4" s="55"/>
      <c r="G4" s="55"/>
      <c r="H4" s="55"/>
    </row>
    <row r="5" spans="1:9" ht="12" customHeight="1" x14ac:dyDescent="0.3"/>
    <row r="9" spans="1:9" ht="13.8" customHeight="1" x14ac:dyDescent="0.3">
      <c r="A9" s="44"/>
      <c r="B9" s="45"/>
    </row>
    <row r="10" spans="1:9" ht="13.8" customHeight="1" x14ac:dyDescent="0.3">
      <c r="A10" s="53" t="s">
        <v>134</v>
      </c>
      <c r="B10" s="53"/>
      <c r="D10" s="54" t="s">
        <v>135</v>
      </c>
      <c r="E10" s="54"/>
      <c r="G10" s="46" t="s">
        <v>136</v>
      </c>
      <c r="H10" s="46" t="s">
        <v>137</v>
      </c>
      <c r="I10" s="46" t="s">
        <v>138</v>
      </c>
    </row>
    <row r="11" spans="1:9" ht="14.4" customHeight="1" x14ac:dyDescent="0.3">
      <c r="A11" s="53"/>
      <c r="B11" s="53"/>
      <c r="D11" s="54"/>
      <c r="E11" s="54"/>
      <c r="G11" s="47">
        <v>0</v>
      </c>
      <c r="H11" s="48" cm="1">
        <f t="array" ref="H11">E13-SUMPRODUCT((G11-data!$G$2:$G$201)*data!$E$2:$E$201)</f>
        <v>87559.767500000016</v>
      </c>
      <c r="I11" s="49">
        <f t="shared" ref="I11:I17" si="0">H11-$D$5</f>
        <v>87559.767500000016</v>
      </c>
    </row>
    <row r="12" spans="1:9" x14ac:dyDescent="0.3">
      <c r="A12" s="38" t="s">
        <v>130</v>
      </c>
      <c r="B12" s="43">
        <v>0.1</v>
      </c>
      <c r="D12" s="38" t="s">
        <v>127</v>
      </c>
      <c r="E12" s="39">
        <f>SUM(data!$E$2:$E$201)</f>
        <v>195217.75999999992</v>
      </c>
      <c r="G12" s="47">
        <v>0.05</v>
      </c>
      <c r="H12" s="48" cm="1">
        <f t="array" ref="H12">E14-SUMPRODUCT((G12-data!$G$2:$G$201)*data!$E$2:$E$201)</f>
        <v>9511.9667500000032</v>
      </c>
      <c r="I12" s="49">
        <f t="shared" si="0"/>
        <v>9511.9667500000032</v>
      </c>
    </row>
    <row r="13" spans="1:9" x14ac:dyDescent="0.3">
      <c r="A13" s="38" t="s">
        <v>130</v>
      </c>
      <c r="B13" s="40" cm="1">
        <f t="array" ref="B13">E13-SUMPRODUCT(($B$12-data!$G$2:$G$201)*data!$E$2:$E$201)</f>
        <v>68037.991500000004</v>
      </c>
      <c r="D13" s="38" t="s">
        <v>128</v>
      </c>
      <c r="E13" s="40">
        <f>SUM(data!$I$2:$I$201)</f>
        <v>68287.010000000009</v>
      </c>
      <c r="G13" s="47">
        <v>0.1</v>
      </c>
      <c r="H13" s="48" cm="1">
        <f t="array" ref="H13">E15-SUMPRODUCT((G13-data!$G$2:$G$201)*data!$E$2:$E$201)</f>
        <v>-249.01850000000067</v>
      </c>
      <c r="I13" s="49">
        <f t="shared" si="0"/>
        <v>-249.01850000000067</v>
      </c>
    </row>
    <row r="14" spans="1:9" x14ac:dyDescent="0.3">
      <c r="A14" s="38" t="s">
        <v>131</v>
      </c>
      <c r="B14" s="40">
        <f>E13-B13</f>
        <v>249.01850000000559</v>
      </c>
      <c r="D14" s="41" t="s">
        <v>129</v>
      </c>
      <c r="E14" s="42">
        <f>AVERAGE(data!$G$2:$G$201)</f>
        <v>9.7250000000000003E-2</v>
      </c>
      <c r="G14" s="47">
        <v>0.15</v>
      </c>
      <c r="H14" s="48" cm="1">
        <f t="array" ref="H14">E16-SUMPRODUCT((G14-data!$G$2:$G$201)*data!$E$2:$E$201)</f>
        <v>-10009.906499999997</v>
      </c>
      <c r="I14" s="49">
        <f t="shared" si="0"/>
        <v>-10009.906499999997</v>
      </c>
    </row>
    <row r="15" spans="1:9" x14ac:dyDescent="0.3">
      <c r="A15" s="38" t="s">
        <v>132</v>
      </c>
      <c r="B15" s="42">
        <f>B14/E13</f>
        <v>3.646645240434536E-3</v>
      </c>
      <c r="G15" s="47">
        <v>0.2</v>
      </c>
      <c r="H15" s="48" cm="1">
        <f t="array" ref="H15">E17-SUMPRODUCT((G15-data!$G$2:$G$201)*data!$E$2:$E$201)</f>
        <v>-19770.794500000004</v>
      </c>
      <c r="I15" s="49">
        <f t="shared" si="0"/>
        <v>-19770.794500000004</v>
      </c>
    </row>
    <row r="16" spans="1:9" x14ac:dyDescent="0.3">
      <c r="G16" s="47">
        <v>0.25</v>
      </c>
      <c r="H16" s="48" cm="1">
        <f t="array" ref="H16">E18-SUMPRODUCT((G16-data!$G$2:$G$201)*data!$E$2:$E$201)</f>
        <v>-29531.682500000006</v>
      </c>
      <c r="I16" s="49">
        <f t="shared" si="0"/>
        <v>-29531.682500000006</v>
      </c>
    </row>
    <row r="17" spans="7:9" x14ac:dyDescent="0.3">
      <c r="G17" s="47">
        <v>0.3</v>
      </c>
      <c r="H17" s="48" cm="1">
        <f t="array" ref="H17">E19-SUMPRODUCT((G17-data!$G$2:$G$201)*data!$E$2:$E$201)</f>
        <v>-39292.570499999987</v>
      </c>
      <c r="I17" s="49">
        <f t="shared" si="0"/>
        <v>-39292.570499999987</v>
      </c>
    </row>
  </sheetData>
  <mergeCells count="3">
    <mergeCell ref="A10:B11"/>
    <mergeCell ref="D10:E11"/>
    <mergeCell ref="B1:H4"/>
  </mergeCells>
  <conditionalFormatting sqref="G11:I17">
    <cfRule type="expression" dxfId="0" priority="1">
      <formula>$B11=$D$8</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D6208-E7E4-41E6-B88C-00DF52F05B1E}">
  <dimension ref="A3:D17"/>
  <sheetViews>
    <sheetView workbookViewId="0">
      <selection activeCell="G31" sqref="G31"/>
    </sheetView>
  </sheetViews>
  <sheetFormatPr defaultRowHeight="14.4" x14ac:dyDescent="0.3"/>
  <cols>
    <col min="2" max="2" width="17.5546875" customWidth="1"/>
    <col min="3" max="3" width="13.21875" customWidth="1"/>
    <col min="4" max="4" width="24.77734375" style="33" customWidth="1"/>
  </cols>
  <sheetData>
    <row r="3" spans="1:4" ht="17.399999999999999" x14ac:dyDescent="0.3">
      <c r="A3" s="56" t="s">
        <v>126</v>
      </c>
      <c r="B3" s="56"/>
      <c r="C3" s="56"/>
      <c r="D3" s="56"/>
    </row>
    <row r="4" spans="1:4" x14ac:dyDescent="0.3">
      <c r="A4" s="32" t="s">
        <v>123</v>
      </c>
      <c r="B4" s="32" t="s">
        <v>124</v>
      </c>
      <c r="C4" s="32" t="s">
        <v>80</v>
      </c>
      <c r="D4" s="34" t="s">
        <v>125</v>
      </c>
    </row>
    <row r="5" spans="1:4" x14ac:dyDescent="0.3">
      <c r="A5" s="35">
        <v>45383</v>
      </c>
      <c r="B5" s="36">
        <f>SUMIFS(data!$E$2:$E$201,data!$K$2:$K$201,A5)</f>
        <v>19029.96</v>
      </c>
      <c r="C5" s="36">
        <f>SUMIFS(data!$I$2:$I$201,data!$K$2:$K$201,A5)</f>
        <v>6244.01</v>
      </c>
      <c r="D5" s="37"/>
    </row>
    <row r="6" spans="1:4" x14ac:dyDescent="0.3">
      <c r="A6" s="35">
        <v>45413</v>
      </c>
      <c r="B6" s="36">
        <f>SUMIFS(data!$E$2:$E$201,data!$K$2:$K$201,A6)</f>
        <v>18507.339999999997</v>
      </c>
      <c r="C6" s="36">
        <f>SUMIFS(data!$I$2:$I$201,data!$K$2:$K$201,A6)</f>
        <v>6121.3499999999995</v>
      </c>
      <c r="D6" s="37">
        <f>(B6-B5)/B5</f>
        <v>-2.7463010957458799E-2</v>
      </c>
    </row>
    <row r="7" spans="1:4" x14ac:dyDescent="0.3">
      <c r="A7" s="35">
        <v>45444</v>
      </c>
      <c r="B7" s="36">
        <f>SUMIFS(data!$E$2:$E$201,data!$K$2:$K$201,A7)</f>
        <v>20187.509999999998</v>
      </c>
      <c r="C7" s="36">
        <f>SUMIFS(data!$I$2:$I$201,data!$K$2:$K$201,A7)</f>
        <v>6918</v>
      </c>
      <c r="D7" s="37">
        <f t="shared" ref="D7:D17" si="0">(B7-B6)/B6</f>
        <v>9.0783980842195702E-2</v>
      </c>
    </row>
    <row r="8" spans="1:4" x14ac:dyDescent="0.3">
      <c r="A8" s="35">
        <v>45474</v>
      </c>
      <c r="B8" s="36">
        <f>SUMIFS(data!$E$2:$E$201,data!$K$2:$K$201,A8)</f>
        <v>11609.039999999999</v>
      </c>
      <c r="C8" s="36">
        <f>SUMIFS(data!$I$2:$I$201,data!$K$2:$K$201,A8)</f>
        <v>3743.85</v>
      </c>
      <c r="D8" s="37">
        <f t="shared" si="0"/>
        <v>-0.42493947990614001</v>
      </c>
    </row>
    <row r="9" spans="1:4" x14ac:dyDescent="0.3">
      <c r="A9" s="35">
        <v>45505</v>
      </c>
      <c r="B9" s="36">
        <f>SUMIFS(data!$E$2:$E$201,data!$K$2:$K$201,A9)</f>
        <v>10091.699999999999</v>
      </c>
      <c r="C9" s="36">
        <f>SUMIFS(data!$I$2:$I$201,data!$K$2:$K$201,A9)</f>
        <v>3302.84</v>
      </c>
      <c r="D9" s="37">
        <f t="shared" si="0"/>
        <v>-0.13070331396911375</v>
      </c>
    </row>
    <row r="10" spans="1:4" x14ac:dyDescent="0.3">
      <c r="A10" s="35">
        <v>45536</v>
      </c>
      <c r="B10" s="36">
        <f>SUMIFS(data!$E$2:$E$201,data!$K$2:$K$201,A10)</f>
        <v>20533.499999999996</v>
      </c>
      <c r="C10" s="36">
        <f>SUMIFS(data!$I$2:$I$201,data!$K$2:$K$201,A10)</f>
        <v>7457.5199999999995</v>
      </c>
      <c r="D10" s="37">
        <f t="shared" si="0"/>
        <v>1.0346918755016496</v>
      </c>
    </row>
    <row r="11" spans="1:4" x14ac:dyDescent="0.3">
      <c r="A11" s="35">
        <v>45566</v>
      </c>
      <c r="B11" s="36">
        <f>SUMIFS(data!$E$2:$E$201,data!$K$2:$K$201,A11)</f>
        <v>14215.240000000002</v>
      </c>
      <c r="C11" s="36">
        <f>SUMIFS(data!$I$2:$I$201,data!$K$2:$K$201,A11)</f>
        <v>4861.7</v>
      </c>
      <c r="D11" s="37">
        <f t="shared" si="0"/>
        <v>-0.30770496992719193</v>
      </c>
    </row>
    <row r="12" spans="1:4" x14ac:dyDescent="0.3">
      <c r="A12" s="35">
        <v>45597</v>
      </c>
      <c r="B12" s="36">
        <f>SUMIFS(data!$E$2:$E$201,data!$K$2:$K$201,A12)</f>
        <v>20135.030000000002</v>
      </c>
      <c r="C12" s="36">
        <f>SUMIFS(data!$I$2:$I$201,data!$K$2:$K$201,A12)</f>
        <v>6814.8799999999992</v>
      </c>
      <c r="D12" s="37">
        <f t="shared" si="0"/>
        <v>0.4164396802305132</v>
      </c>
    </row>
    <row r="13" spans="1:4" x14ac:dyDescent="0.3">
      <c r="A13" s="35">
        <v>45627</v>
      </c>
      <c r="B13" s="36">
        <f>SUMIFS(data!$E$2:$E$201,data!$K$2:$K$201,A13)</f>
        <v>11120.04</v>
      </c>
      <c r="C13" s="36">
        <f>SUMIFS(data!$I$2:$I$201,data!$K$2:$K$201,A13)</f>
        <v>3549.99</v>
      </c>
      <c r="D13" s="37">
        <f t="shared" si="0"/>
        <v>-0.44772667336477773</v>
      </c>
    </row>
    <row r="14" spans="1:4" x14ac:dyDescent="0.3">
      <c r="A14" s="35">
        <v>45658</v>
      </c>
      <c r="B14" s="36">
        <f>SUMIFS(data!$E$2:$E$201,data!$K$2:$K$201,A14)</f>
        <v>14914.650000000001</v>
      </c>
      <c r="C14" s="36">
        <f>SUMIFS(data!$I$2:$I$201,data!$K$2:$K$201,A14)</f>
        <v>5763.4</v>
      </c>
      <c r="D14" s="37">
        <f t="shared" si="0"/>
        <v>0.34124067899036337</v>
      </c>
    </row>
    <row r="15" spans="1:4" x14ac:dyDescent="0.3">
      <c r="A15" s="35">
        <v>45689</v>
      </c>
      <c r="B15" s="36">
        <f>SUMIFS(data!$E$2:$E$201,data!$K$2:$K$201,A15)</f>
        <v>14006.359999999999</v>
      </c>
      <c r="C15" s="36">
        <f>SUMIFS(data!$I$2:$I$201,data!$K$2:$K$201,A15)</f>
        <v>5039.2299999999996</v>
      </c>
      <c r="D15" s="37">
        <f t="shared" si="0"/>
        <v>-6.0899183018039482E-2</v>
      </c>
    </row>
    <row r="16" spans="1:4" x14ac:dyDescent="0.3">
      <c r="A16" s="35">
        <v>45717</v>
      </c>
      <c r="B16" s="36">
        <f>SUMIFS(data!$E$2:$E$201,data!$K$2:$K$201,A16)</f>
        <v>17655.219999999998</v>
      </c>
      <c r="C16" s="36">
        <f>SUMIFS(data!$I$2:$I$201,data!$K$2:$K$201,A16)</f>
        <v>7071.39</v>
      </c>
      <c r="D16" s="37">
        <f t="shared" si="0"/>
        <v>0.26051450912299834</v>
      </c>
    </row>
    <row r="17" spans="1:4" x14ac:dyDescent="0.3">
      <c r="A17" s="35">
        <v>45748</v>
      </c>
      <c r="B17" s="36">
        <f>SUMIFS(data!$E$2:$E$201,data!$K$2:$K$201,A17)</f>
        <v>3212.17</v>
      </c>
      <c r="C17" s="36">
        <f>SUMIFS(data!$I$2:$I$201,data!$K$2:$K$201,A17)</f>
        <v>1398.85</v>
      </c>
      <c r="D17" s="37">
        <f t="shared" si="0"/>
        <v>-0.81806117397574196</v>
      </c>
    </row>
  </sheetData>
  <mergeCells count="1">
    <mergeCell ref="A3:D3"/>
  </mergeCells>
  <conditionalFormatting sqref="D6:D17">
    <cfRule type="iconSet" priority="1">
      <iconSet iconSet="3Arrows">
        <cfvo type="percent" val="0"/>
        <cfvo type="percent" val="33"/>
        <cfvo type="percent" val="67"/>
      </iconSet>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FF067-B7A3-4B39-B66C-8C8AB524C73D}">
  <dimension ref="A1:E15"/>
  <sheetViews>
    <sheetView workbookViewId="0">
      <selection activeCell="E24" sqref="E24"/>
    </sheetView>
  </sheetViews>
  <sheetFormatPr defaultRowHeight="14.4" x14ac:dyDescent="0.3"/>
  <cols>
    <col min="1" max="1" width="16.109375" bestFit="1" customWidth="1"/>
    <col min="2" max="2" width="17.109375" customWidth="1"/>
    <col min="3" max="3" width="11.44140625" customWidth="1"/>
    <col min="4" max="4" width="11.5546875" customWidth="1"/>
  </cols>
  <sheetData>
    <row r="1" spans="1:5" ht="17.399999999999999" x14ac:dyDescent="0.3">
      <c r="A1" s="57" t="s">
        <v>122</v>
      </c>
      <c r="B1" s="58"/>
      <c r="C1" s="57"/>
      <c r="D1" s="57"/>
      <c r="E1" s="57"/>
    </row>
    <row r="2" spans="1:5" x14ac:dyDescent="0.3">
      <c r="A2" s="32" t="s">
        <v>108</v>
      </c>
      <c r="B2" s="32" t="s">
        <v>3</v>
      </c>
      <c r="C2" s="32" t="s">
        <v>118</v>
      </c>
      <c r="D2" s="32" t="s">
        <v>5</v>
      </c>
      <c r="E2" s="32" t="s">
        <v>7</v>
      </c>
    </row>
    <row r="3" spans="1:5" x14ac:dyDescent="0.3">
      <c r="A3" s="30" t="s">
        <v>111</v>
      </c>
      <c r="B3" s="30">
        <v>975.78728643216039</v>
      </c>
      <c r="C3" s="31">
        <v>10.025125628140703</v>
      </c>
      <c r="D3" s="31">
        <v>9.6733668341708504E-2</v>
      </c>
      <c r="E3" s="31">
        <v>341.48472361809047</v>
      </c>
    </row>
    <row r="4" spans="1:5" x14ac:dyDescent="0.3">
      <c r="A4" s="30" t="s">
        <v>89</v>
      </c>
      <c r="B4" s="30">
        <v>21.266301032131288</v>
      </c>
      <c r="C4" s="31">
        <v>0.40014445807360788</v>
      </c>
      <c r="D4" s="31">
        <v>5.1137432614679242E-3</v>
      </c>
      <c r="E4" s="31">
        <v>9.6483541158221815</v>
      </c>
    </row>
    <row r="5" spans="1:5" x14ac:dyDescent="0.3">
      <c r="A5" s="30" t="s">
        <v>112</v>
      </c>
      <c r="B5" s="30">
        <v>973.26</v>
      </c>
      <c r="C5" s="31">
        <v>10</v>
      </c>
      <c r="D5" s="31">
        <v>0.1</v>
      </c>
      <c r="E5" s="31">
        <v>332.32</v>
      </c>
    </row>
    <row r="6" spans="1:5" x14ac:dyDescent="0.3">
      <c r="A6" s="30" t="s">
        <v>113</v>
      </c>
      <c r="B6" s="30" t="e">
        <v>#N/A</v>
      </c>
      <c r="C6" s="31">
        <v>8</v>
      </c>
      <c r="D6" s="31">
        <v>0</v>
      </c>
      <c r="E6" s="31" t="e">
        <v>#N/A</v>
      </c>
    </row>
    <row r="7" spans="1:5" x14ac:dyDescent="0.3">
      <c r="A7" s="30" t="s">
        <v>114</v>
      </c>
      <c r="B7" s="30">
        <v>299.9980939243722</v>
      </c>
      <c r="C7" s="31">
        <v>5.6447322237708715</v>
      </c>
      <c r="D7" s="31">
        <v>7.2138226057323535E-2</v>
      </c>
      <c r="E7" s="31">
        <v>136.10678415022619</v>
      </c>
    </row>
    <row r="8" spans="1:5" x14ac:dyDescent="0.3">
      <c r="A8" s="30" t="s">
        <v>119</v>
      </c>
      <c r="B8" s="30">
        <v>89998.856358256453</v>
      </c>
      <c r="C8" s="31">
        <v>31.863001878077252</v>
      </c>
      <c r="D8" s="31">
        <v>5.2039236586975124E-3</v>
      </c>
      <c r="E8" s="31">
        <v>18525.056691716265</v>
      </c>
    </row>
    <row r="9" spans="1:5" x14ac:dyDescent="0.3">
      <c r="A9" s="30" t="s">
        <v>120</v>
      </c>
      <c r="B9" s="30">
        <v>-0.10144708104707512</v>
      </c>
      <c r="C9" s="31">
        <v>-1.2052157626509212</v>
      </c>
      <c r="D9" s="31">
        <v>-1.3175587852575268</v>
      </c>
      <c r="E9" s="31">
        <v>0.24746466034092496</v>
      </c>
    </row>
    <row r="10" spans="1:5" x14ac:dyDescent="0.3">
      <c r="A10" s="30" t="s">
        <v>121</v>
      </c>
      <c r="B10" s="30">
        <v>0.14954551654117604</v>
      </c>
      <c r="C10" s="31">
        <v>5.1156000989616236E-2</v>
      </c>
      <c r="D10" s="31">
        <v>0.10503298442946726</v>
      </c>
      <c r="E10" s="31">
        <v>0.57090181327812994</v>
      </c>
    </row>
    <row r="11" spans="1:5" x14ac:dyDescent="0.3">
      <c r="A11" s="30" t="s">
        <v>117</v>
      </c>
      <c r="B11" s="30">
        <v>1665.15</v>
      </c>
      <c r="C11" s="31">
        <v>18</v>
      </c>
      <c r="D11" s="31">
        <v>0.2</v>
      </c>
      <c r="E11" s="31">
        <v>704.83</v>
      </c>
    </row>
    <row r="12" spans="1:5" x14ac:dyDescent="0.3">
      <c r="A12" s="30" t="s">
        <v>115</v>
      </c>
      <c r="B12" s="30">
        <v>258.51</v>
      </c>
      <c r="C12" s="31">
        <v>1</v>
      </c>
      <c r="D12" s="31">
        <v>0</v>
      </c>
      <c r="E12" s="31">
        <v>64.63</v>
      </c>
    </row>
    <row r="13" spans="1:5" x14ac:dyDescent="0.3">
      <c r="A13" s="30" t="s">
        <v>116</v>
      </c>
      <c r="B13" s="30">
        <v>1923.66</v>
      </c>
      <c r="C13" s="31">
        <v>19</v>
      </c>
      <c r="D13" s="31">
        <v>0.2</v>
      </c>
      <c r="E13" s="31">
        <v>769.46</v>
      </c>
    </row>
    <row r="14" spans="1:5" x14ac:dyDescent="0.3">
      <c r="A14" s="30" t="s">
        <v>110</v>
      </c>
      <c r="B14" s="30">
        <v>194181.66999999993</v>
      </c>
      <c r="C14" s="31">
        <v>1995</v>
      </c>
      <c r="D14" s="31">
        <v>19.249999999999993</v>
      </c>
      <c r="E14" s="31">
        <v>67955.460000000006</v>
      </c>
    </row>
    <row r="15" spans="1:5" x14ac:dyDescent="0.3">
      <c r="A15" s="30" t="s">
        <v>109</v>
      </c>
      <c r="B15" s="30">
        <v>199</v>
      </c>
      <c r="C15" s="31">
        <v>199</v>
      </c>
      <c r="D15" s="31">
        <v>199</v>
      </c>
      <c r="E15" s="31">
        <v>199</v>
      </c>
    </row>
  </sheetData>
  <mergeCells count="1">
    <mergeCell ref="A1:E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BC0B9-FF85-460D-959A-E80387439F57}">
  <dimension ref="A1:I18"/>
  <sheetViews>
    <sheetView workbookViewId="0">
      <selection activeCell="D25" sqref="D25"/>
    </sheetView>
  </sheetViews>
  <sheetFormatPr defaultRowHeight="14.4" x14ac:dyDescent="0.3"/>
  <cols>
    <col min="1" max="1" width="35.6640625" customWidth="1"/>
    <col min="2" max="2" width="12" bestFit="1" customWidth="1"/>
    <col min="3" max="3" width="13.21875" bestFit="1" customWidth="1"/>
    <col min="4" max="4" width="12.33203125" customWidth="1"/>
    <col min="5" max="5" width="12" bestFit="1" customWidth="1"/>
    <col min="6" max="6" width="12.77734375" bestFit="1" customWidth="1"/>
    <col min="7" max="7" width="12.33203125" customWidth="1"/>
    <col min="8" max="9" width="12" bestFit="1" customWidth="1"/>
  </cols>
  <sheetData>
    <row r="1" spans="1:9" ht="27.6" customHeight="1" x14ac:dyDescent="0.3">
      <c r="A1" s="28" t="s">
        <v>107</v>
      </c>
    </row>
    <row r="3" spans="1:9" x14ac:dyDescent="0.3">
      <c r="A3" s="29" t="s">
        <v>85</v>
      </c>
      <c r="B3" s="29"/>
    </row>
    <row r="4" spans="1:9" x14ac:dyDescent="0.3">
      <c r="A4" s="30" t="s">
        <v>86</v>
      </c>
      <c r="B4" s="30">
        <v>0.77356566420146511</v>
      </c>
    </row>
    <row r="5" spans="1:9" x14ac:dyDescent="0.3">
      <c r="A5" s="30" t="s">
        <v>87</v>
      </c>
      <c r="B5" s="30">
        <v>0.59840383683145393</v>
      </c>
    </row>
    <row r="6" spans="1:9" x14ac:dyDescent="0.3">
      <c r="A6" s="30" t="s">
        <v>88</v>
      </c>
      <c r="B6" s="30">
        <v>0.59636527762755265</v>
      </c>
    </row>
    <row r="7" spans="1:9" x14ac:dyDescent="0.3">
      <c r="A7" s="30" t="s">
        <v>89</v>
      </c>
      <c r="B7" s="30">
        <v>190.59554926598469</v>
      </c>
    </row>
    <row r="8" spans="1:9" x14ac:dyDescent="0.3">
      <c r="A8" s="30" t="s">
        <v>90</v>
      </c>
      <c r="B8" s="30">
        <v>199</v>
      </c>
    </row>
    <row r="11" spans="1:9" x14ac:dyDescent="0.3">
      <c r="A11" s="29"/>
      <c r="B11" s="29" t="s">
        <v>95</v>
      </c>
      <c r="C11" s="29" t="s">
        <v>96</v>
      </c>
      <c r="D11" s="29" t="s">
        <v>97</v>
      </c>
      <c r="E11" s="29" t="s">
        <v>98</v>
      </c>
      <c r="F11" s="29" t="s">
        <v>99</v>
      </c>
    </row>
    <row r="12" spans="1:9" x14ac:dyDescent="0.3">
      <c r="A12" s="30" t="s">
        <v>91</v>
      </c>
      <c r="B12" s="30">
        <v>1</v>
      </c>
      <c r="C12" s="30">
        <v>10663420.869134201</v>
      </c>
      <c r="D12" s="30">
        <v>10663420.869134201</v>
      </c>
      <c r="E12" s="30">
        <v>293.54253518184379</v>
      </c>
      <c r="F12" s="30">
        <v>6.8782375878388811E-41</v>
      </c>
    </row>
    <row r="13" spans="1:9" x14ac:dyDescent="0.3">
      <c r="A13" s="30" t="s">
        <v>92</v>
      </c>
      <c r="B13" s="30">
        <v>197</v>
      </c>
      <c r="C13" s="30">
        <v>7156352.6898004729</v>
      </c>
      <c r="D13" s="30">
        <v>36326.663400002399</v>
      </c>
      <c r="E13" s="30"/>
      <c r="F13" s="30"/>
    </row>
    <row r="14" spans="1:9" x14ac:dyDescent="0.3">
      <c r="A14" s="30" t="s">
        <v>93</v>
      </c>
      <c r="B14" s="30">
        <v>198</v>
      </c>
      <c r="C14" s="30">
        <v>17819773.558934674</v>
      </c>
      <c r="D14" s="30"/>
      <c r="E14" s="30"/>
      <c r="F14" s="30"/>
    </row>
    <row r="16" spans="1:9" x14ac:dyDescent="0.3">
      <c r="A16" s="29"/>
      <c r="B16" s="29" t="s">
        <v>100</v>
      </c>
      <c r="C16" s="29" t="s">
        <v>89</v>
      </c>
      <c r="D16" s="29" t="s">
        <v>101</v>
      </c>
      <c r="E16" s="29" t="s">
        <v>102</v>
      </c>
      <c r="F16" s="29" t="s">
        <v>103</v>
      </c>
      <c r="G16" s="29" t="s">
        <v>104</v>
      </c>
      <c r="H16" s="29" t="s">
        <v>105</v>
      </c>
      <c r="I16" s="29" t="s">
        <v>106</v>
      </c>
    </row>
    <row r="17" spans="1:9" x14ac:dyDescent="0.3">
      <c r="A17" s="30" t="s">
        <v>94</v>
      </c>
      <c r="B17" s="30">
        <v>393.54038304456458</v>
      </c>
      <c r="C17" s="30">
        <v>36.571071391324544</v>
      </c>
      <c r="D17" s="30">
        <v>10.760974947480509</v>
      </c>
      <c r="E17" s="30">
        <v>1.5404304488191527E-21</v>
      </c>
      <c r="F17" s="30">
        <v>321.41933991091668</v>
      </c>
      <c r="G17" s="30">
        <v>465.66142617821248</v>
      </c>
      <c r="H17" s="30">
        <v>321.41933991091668</v>
      </c>
      <c r="I17" s="30">
        <v>465.66142617821248</v>
      </c>
    </row>
    <row r="18" spans="1:9" x14ac:dyDescent="0.3">
      <c r="A18" s="30">
        <v>331.55</v>
      </c>
      <c r="B18" s="30">
        <v>1.7050452424887059</v>
      </c>
      <c r="C18" s="30">
        <v>9.9517712976620348E-2</v>
      </c>
      <c r="D18" s="30">
        <v>17.133083061196064</v>
      </c>
      <c r="E18" s="30">
        <v>6.8782375878393705E-41</v>
      </c>
      <c r="F18" s="30">
        <v>1.5087884472379263</v>
      </c>
      <c r="G18" s="30">
        <v>1.9013020377394856</v>
      </c>
      <c r="H18" s="30">
        <v>1.5087884472379263</v>
      </c>
      <c r="I18" s="30">
        <v>1.9013020377394856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4D1B2-0388-4FCF-BE96-A4F99D61FF2F}">
  <dimension ref="B1:O17"/>
  <sheetViews>
    <sheetView workbookViewId="0">
      <selection activeCell="M28" sqref="M28"/>
    </sheetView>
  </sheetViews>
  <sheetFormatPr defaultRowHeight="14.4" x14ac:dyDescent="0.3"/>
  <cols>
    <col min="1" max="1" width="13.109375" bestFit="1" customWidth="1"/>
    <col min="2" max="2" width="15.5546875" bestFit="1" customWidth="1"/>
    <col min="3" max="6" width="9" bestFit="1" customWidth="1"/>
    <col min="7" max="7" width="10.5546875" bestFit="1" customWidth="1"/>
  </cols>
  <sheetData>
    <row r="1" spans="2:15" ht="14.4" customHeight="1" x14ac:dyDescent="0.3">
      <c r="E1" s="59" t="s">
        <v>143</v>
      </c>
      <c r="F1" s="59"/>
      <c r="G1" s="59"/>
      <c r="H1" s="59"/>
      <c r="I1" s="59"/>
      <c r="J1" s="59"/>
      <c r="K1" s="59"/>
      <c r="L1" s="59"/>
      <c r="M1" s="59"/>
      <c r="N1" s="59"/>
      <c r="O1" s="59"/>
    </row>
    <row r="2" spans="2:15" ht="14.4" customHeight="1" x14ac:dyDescent="0.3">
      <c r="E2" s="59"/>
      <c r="F2" s="59"/>
      <c r="G2" s="59"/>
      <c r="H2" s="59"/>
      <c r="I2" s="59"/>
      <c r="J2" s="59"/>
      <c r="K2" s="59"/>
      <c r="L2" s="59"/>
      <c r="M2" s="59"/>
      <c r="N2" s="59"/>
      <c r="O2" s="59"/>
    </row>
    <row r="3" spans="2:15" ht="14.4" customHeight="1" x14ac:dyDescent="0.3">
      <c r="E3" s="59"/>
      <c r="F3" s="59"/>
      <c r="G3" s="59"/>
      <c r="H3" s="59"/>
      <c r="I3" s="59"/>
      <c r="J3" s="59"/>
      <c r="K3" s="59"/>
      <c r="L3" s="59"/>
      <c r="M3" s="59"/>
      <c r="N3" s="59"/>
      <c r="O3" s="59"/>
    </row>
    <row r="4" spans="2:15" ht="14.4" customHeight="1" x14ac:dyDescent="0.3">
      <c r="E4" s="59"/>
      <c r="F4" s="59"/>
      <c r="G4" s="59"/>
      <c r="H4" s="59"/>
      <c r="I4" s="59"/>
      <c r="J4" s="59"/>
      <c r="K4" s="59"/>
      <c r="L4" s="59"/>
      <c r="M4" s="59"/>
      <c r="N4" s="59"/>
      <c r="O4" s="59"/>
    </row>
    <row r="5" spans="2:15" ht="14.4" customHeight="1" x14ac:dyDescent="0.3">
      <c r="E5" s="59"/>
      <c r="F5" s="59"/>
      <c r="G5" s="59"/>
      <c r="H5" s="59"/>
      <c r="I5" s="59"/>
      <c r="J5" s="59"/>
      <c r="K5" s="59"/>
      <c r="L5" s="59"/>
      <c r="M5" s="59"/>
      <c r="N5" s="59"/>
      <c r="O5" s="59"/>
    </row>
    <row r="10" spans="2:15" x14ac:dyDescent="0.3">
      <c r="B10" s="50" t="s">
        <v>141</v>
      </c>
      <c r="C10" s="50" t="s">
        <v>142</v>
      </c>
    </row>
    <row r="11" spans="2:15" x14ac:dyDescent="0.3">
      <c r="B11" s="50" t="s">
        <v>139</v>
      </c>
      <c r="C11" t="s">
        <v>33</v>
      </c>
      <c r="D11" t="s">
        <v>17</v>
      </c>
      <c r="E11" t="s">
        <v>23</v>
      </c>
      <c r="F11" t="s">
        <v>19</v>
      </c>
      <c r="G11" t="s">
        <v>10</v>
      </c>
      <c r="H11" t="s">
        <v>140</v>
      </c>
    </row>
    <row r="12" spans="2:15" x14ac:dyDescent="0.3">
      <c r="B12" s="51" t="s">
        <v>11</v>
      </c>
      <c r="C12">
        <v>11297.150000000001</v>
      </c>
      <c r="D12">
        <v>11389.090000000002</v>
      </c>
      <c r="E12">
        <v>8037.0100000000011</v>
      </c>
      <c r="F12">
        <v>9588.0400000000009</v>
      </c>
      <c r="G12">
        <v>6691.17</v>
      </c>
      <c r="H12">
        <v>47002.460000000006</v>
      </c>
    </row>
    <row r="13" spans="2:15" x14ac:dyDescent="0.3">
      <c r="B13" s="51" t="s">
        <v>14</v>
      </c>
      <c r="C13">
        <v>12200.26</v>
      </c>
      <c r="D13">
        <v>2401.4499999999998</v>
      </c>
      <c r="E13">
        <v>8422.82</v>
      </c>
      <c r="F13">
        <v>8393.630000000001</v>
      </c>
      <c r="G13">
        <v>10509.429999999998</v>
      </c>
      <c r="H13">
        <v>41927.589999999997</v>
      </c>
    </row>
    <row r="14" spans="2:15" x14ac:dyDescent="0.3">
      <c r="B14" s="51" t="s">
        <v>20</v>
      </c>
      <c r="C14">
        <v>6621.24</v>
      </c>
      <c r="D14">
        <v>2869.54</v>
      </c>
      <c r="E14">
        <v>8191.7099999999991</v>
      </c>
      <c r="F14">
        <v>11989.070000000003</v>
      </c>
      <c r="G14">
        <v>11372.44</v>
      </c>
      <c r="H14">
        <v>41044</v>
      </c>
    </row>
    <row r="15" spans="2:15" x14ac:dyDescent="0.3">
      <c r="B15" s="51" t="s">
        <v>26</v>
      </c>
      <c r="C15">
        <v>4876.96</v>
      </c>
      <c r="D15">
        <v>7592.3399999999992</v>
      </c>
      <c r="E15">
        <v>6978.08</v>
      </c>
      <c r="F15">
        <v>7982.73</v>
      </c>
      <c r="G15">
        <v>9182.7800000000007</v>
      </c>
      <c r="H15">
        <v>36612.89</v>
      </c>
    </row>
    <row r="16" spans="2:15" x14ac:dyDescent="0.3">
      <c r="B16" s="51" t="s">
        <v>38</v>
      </c>
      <c r="C16">
        <v>8472.7199999999993</v>
      </c>
      <c r="D16">
        <v>8189.2200000000012</v>
      </c>
      <c r="E16">
        <v>3345.8</v>
      </c>
      <c r="F16">
        <v>2295.3199999999997</v>
      </c>
      <c r="G16">
        <v>6327.76</v>
      </c>
      <c r="H16">
        <v>28630.82</v>
      </c>
    </row>
    <row r="17" spans="2:8" x14ac:dyDescent="0.3">
      <c r="B17" s="51" t="s">
        <v>140</v>
      </c>
      <c r="C17">
        <v>43468.33</v>
      </c>
      <c r="D17">
        <v>32441.640000000003</v>
      </c>
      <c r="E17">
        <v>34975.420000000006</v>
      </c>
      <c r="F17">
        <v>40248.79</v>
      </c>
      <c r="G17">
        <v>44083.58</v>
      </c>
      <c r="H17">
        <v>195217.76</v>
      </c>
    </row>
  </sheetData>
  <mergeCells count="1">
    <mergeCell ref="E1:O5"/>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2A7D3-2ECB-4B0C-97B3-BFAE7CBE41E0}">
  <dimension ref="A3:E23"/>
  <sheetViews>
    <sheetView tabSelected="1" workbookViewId="0">
      <selection activeCell="C17" sqref="C17"/>
    </sheetView>
  </sheetViews>
  <sheetFormatPr defaultRowHeight="14.4" x14ac:dyDescent="0.3"/>
  <cols>
    <col min="1" max="1" width="15.44140625" bestFit="1" customWidth="1"/>
    <col min="2" max="2" width="11.109375" bestFit="1" customWidth="1"/>
    <col min="4" max="4" width="8.77734375" bestFit="1" customWidth="1"/>
    <col min="5" max="5" width="11.5546875" bestFit="1" customWidth="1"/>
  </cols>
  <sheetData>
    <row r="3" spans="1:5" x14ac:dyDescent="0.3">
      <c r="A3" s="50" t="s">
        <v>2</v>
      </c>
      <c r="B3" t="s">
        <v>144</v>
      </c>
      <c r="D3" s="50" t="s">
        <v>1</v>
      </c>
      <c r="E3" t="s">
        <v>141</v>
      </c>
    </row>
    <row r="4" spans="1:5" x14ac:dyDescent="0.3">
      <c r="A4" t="s">
        <v>11</v>
      </c>
      <c r="B4">
        <v>16901.630000000005</v>
      </c>
      <c r="D4" t="s">
        <v>33</v>
      </c>
      <c r="E4">
        <v>43468.33</v>
      </c>
    </row>
    <row r="5" spans="1:5" x14ac:dyDescent="0.3">
      <c r="A5" t="s">
        <v>14</v>
      </c>
      <c r="B5">
        <v>18784.490000000002</v>
      </c>
      <c r="D5" t="s">
        <v>17</v>
      </c>
      <c r="E5">
        <v>32441.64</v>
      </c>
    </row>
    <row r="6" spans="1:5" x14ac:dyDescent="0.3">
      <c r="A6" t="s">
        <v>20</v>
      </c>
      <c r="B6">
        <v>9182.1500000000015</v>
      </c>
      <c r="D6" t="s">
        <v>23</v>
      </c>
      <c r="E6">
        <v>34975.42</v>
      </c>
    </row>
    <row r="7" spans="1:5" x14ac:dyDescent="0.3">
      <c r="A7" t="s">
        <v>26</v>
      </c>
      <c r="B7">
        <v>11579.140000000003</v>
      </c>
      <c r="D7" t="s">
        <v>19</v>
      </c>
      <c r="E7">
        <v>40248.79</v>
      </c>
    </row>
    <row r="8" spans="1:5" x14ac:dyDescent="0.3">
      <c r="A8" t="s">
        <v>38</v>
      </c>
      <c r="B8">
        <v>11839.599999999999</v>
      </c>
      <c r="D8" t="s">
        <v>10</v>
      </c>
      <c r="E8">
        <v>44083.58</v>
      </c>
    </row>
    <row r="12" spans="1:5" x14ac:dyDescent="0.3">
      <c r="A12" s="50" t="s">
        <v>139</v>
      </c>
      <c r="B12" t="s">
        <v>145</v>
      </c>
      <c r="D12" s="50" t="s">
        <v>139</v>
      </c>
      <c r="E12" t="s">
        <v>141</v>
      </c>
    </row>
    <row r="13" spans="1:5" x14ac:dyDescent="0.3">
      <c r="A13" s="51" t="s">
        <v>54</v>
      </c>
      <c r="B13">
        <v>3</v>
      </c>
      <c r="D13" s="51" t="s">
        <v>33</v>
      </c>
      <c r="E13">
        <v>43468.33</v>
      </c>
    </row>
    <row r="14" spans="1:5" x14ac:dyDescent="0.3">
      <c r="A14" s="51" t="s">
        <v>37</v>
      </c>
      <c r="B14">
        <v>4</v>
      </c>
      <c r="D14" s="51" t="s">
        <v>17</v>
      </c>
      <c r="E14">
        <v>32441.64</v>
      </c>
    </row>
    <row r="15" spans="1:5" x14ac:dyDescent="0.3">
      <c r="A15" s="51" t="s">
        <v>60</v>
      </c>
      <c r="B15">
        <v>7</v>
      </c>
      <c r="D15" s="51" t="s">
        <v>23</v>
      </c>
      <c r="E15">
        <v>34975.42</v>
      </c>
    </row>
    <row r="16" spans="1:5" x14ac:dyDescent="0.3">
      <c r="A16" s="51" t="s">
        <v>22</v>
      </c>
      <c r="B16">
        <v>1</v>
      </c>
      <c r="D16" s="51" t="s">
        <v>19</v>
      </c>
      <c r="E16">
        <v>40248.79</v>
      </c>
    </row>
    <row r="17" spans="1:5" x14ac:dyDescent="0.3">
      <c r="A17" s="51" t="s">
        <v>28</v>
      </c>
      <c r="B17">
        <v>5</v>
      </c>
      <c r="D17" s="51" t="s">
        <v>10</v>
      </c>
      <c r="E17">
        <v>44083.58</v>
      </c>
    </row>
    <row r="18" spans="1:5" x14ac:dyDescent="0.3">
      <c r="A18" s="51" t="s">
        <v>47</v>
      </c>
      <c r="B18">
        <v>9</v>
      </c>
      <c r="D18" s="51" t="s">
        <v>140</v>
      </c>
      <c r="E18">
        <v>195217.76</v>
      </c>
    </row>
    <row r="19" spans="1:5" x14ac:dyDescent="0.3">
      <c r="A19" s="51" t="s">
        <v>44</v>
      </c>
      <c r="B19">
        <v>6</v>
      </c>
    </row>
    <row r="20" spans="1:5" x14ac:dyDescent="0.3">
      <c r="A20" s="51" t="s">
        <v>30</v>
      </c>
      <c r="B20">
        <v>2</v>
      </c>
    </row>
    <row r="21" spans="1:5" x14ac:dyDescent="0.3">
      <c r="A21" s="51" t="s">
        <v>25</v>
      </c>
      <c r="B21">
        <v>10</v>
      </c>
    </row>
    <row r="22" spans="1:5" x14ac:dyDescent="0.3">
      <c r="A22" s="51" t="s">
        <v>13</v>
      </c>
      <c r="B22">
        <v>8</v>
      </c>
    </row>
    <row r="23" spans="1:5" x14ac:dyDescent="0.3">
      <c r="A23" s="51" t="s">
        <v>140</v>
      </c>
      <c r="B23">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CustomerSummary</vt:lpstr>
      <vt:lpstr>WhatIf</vt:lpstr>
      <vt:lpstr>MonthlySales</vt:lpstr>
      <vt:lpstr>DescriptiveStats</vt:lpstr>
      <vt:lpstr>Regression</vt:lpstr>
      <vt:lpstr>PivotTable</vt:lpstr>
      <vt:lpstr>Dashboard tabal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Divyesh Jadav</dc:creator>
  <cp:lastModifiedBy>Divyesh Jadav</cp:lastModifiedBy>
  <dcterms:created xsi:type="dcterms:W3CDTF">2026-09-07T12:41:12Z</dcterms:created>
  <dcterms:modified xsi:type="dcterms:W3CDTF">2026-09-10T04:37:36Z</dcterms:modified>
</cp:coreProperties>
</file>