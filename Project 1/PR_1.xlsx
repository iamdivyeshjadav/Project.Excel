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sel\"/>
    </mc:Choice>
  </mc:AlternateContent>
  <xr:revisionPtr revIDLastSave="0" documentId="8_{562585FF-B9C4-4AB4-976D-31DE0FAFC4FF}" xr6:coauthVersionLast="47" xr6:coauthVersionMax="47" xr10:uidLastSave="{00000000-0000-0000-0000-000000000000}"/>
  <bookViews>
    <workbookView xWindow="-108" yWindow="-108" windowWidth="23256" windowHeight="13896" activeTab="2" xr2:uid="{0F567D4E-0D91-4E80-A720-C16F0CFCD00F}"/>
  </bookViews>
  <sheets>
    <sheet name="Student_grade" sheetId="1" r:id="rId1"/>
    <sheet name="sales_data" sheetId="2" r:id="rId2"/>
    <sheet name="Empoyees_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T3" i="1"/>
  <c r="Q2" i="4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" i="4"/>
  <c r="G2" i="4" s="1"/>
  <c r="J2" i="4"/>
  <c r="P2" i="1"/>
  <c r="P3" i="1"/>
  <c r="O2" i="1"/>
  <c r="R2" i="2" a="1"/>
  <c r="R2" i="2" s="1"/>
  <c r="Q2" i="2"/>
  <c r="O2" i="2" a="1"/>
  <c r="O2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K2" i="1" a="1"/>
  <c r="K2" i="1" s="1"/>
  <c r="P4" i="1"/>
  <c r="P5" i="1"/>
  <c r="P6" i="1"/>
  <c r="P7" i="1"/>
  <c r="P8" i="1"/>
  <c r="P9" i="1"/>
  <c r="P10" i="1"/>
  <c r="P11" i="1"/>
  <c r="J5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L3" i="1"/>
  <c r="L4" i="1"/>
  <c r="L5" i="1"/>
  <c r="L6" i="1"/>
  <c r="L7" i="1"/>
  <c r="L8" i="1"/>
  <c r="L9" i="1"/>
  <c r="L10" i="1"/>
  <c r="L11" i="1"/>
  <c r="L2" i="1"/>
  <c r="R2" i="4" a="1"/>
  <c r="R2" i="4" l="1"/>
  <c r="H20" i="4"/>
  <c r="H21" i="4"/>
  <c r="H10" i="4"/>
  <c r="H13" i="4"/>
  <c r="H12" i="4"/>
  <c r="H9" i="4"/>
  <c r="H14" i="4"/>
  <c r="H11" i="4"/>
  <c r="H8" i="4"/>
  <c r="H19" i="4"/>
  <c r="H7" i="4"/>
  <c r="H18" i="4"/>
  <c r="H6" i="4"/>
  <c r="H17" i="4"/>
  <c r="H5" i="4"/>
  <c r="H16" i="4"/>
  <c r="H4" i="4"/>
  <c r="H15" i="4"/>
  <c r="H3" i="4"/>
  <c r="H2" i="4"/>
  <c r="M3" i="1"/>
  <c r="M4" i="1"/>
  <c r="M5" i="1"/>
  <c r="M6" i="1"/>
  <c r="M7" i="1"/>
  <c r="M8" i="1"/>
  <c r="M9" i="1"/>
  <c r="M10" i="1"/>
  <c r="M11" i="1"/>
  <c r="M2" i="1"/>
  <c r="N2" i="1"/>
  <c r="G5" i="1" l="1"/>
  <c r="H9" i="1"/>
  <c r="I9" i="1" s="1"/>
  <c r="G4" i="1"/>
  <c r="H7" i="1"/>
  <c r="I7" i="1" s="1"/>
  <c r="H6" i="1"/>
  <c r="I6" i="1" s="1"/>
  <c r="H11" i="1"/>
  <c r="I11" i="1" s="1"/>
  <c r="H10" i="1"/>
  <c r="I10" i="1" s="1"/>
  <c r="H8" i="1"/>
  <c r="I8" i="1" s="1"/>
  <c r="G8" i="1"/>
  <c r="H5" i="1"/>
  <c r="I5" i="1" s="1"/>
  <c r="G3" i="1"/>
  <c r="H2" i="1"/>
  <c r="H4" i="1"/>
  <c r="I4" i="1" s="1"/>
  <c r="H3" i="1"/>
  <c r="I3" i="1" s="1"/>
  <c r="G11" i="1"/>
  <c r="G10" i="1"/>
  <c r="G9" i="1"/>
  <c r="G7" i="1"/>
  <c r="G6" i="1"/>
  <c r="G2" i="1"/>
  <c r="I2" i="1" l="1"/>
  <c r="J3" i="1"/>
  <c r="J4" i="1"/>
  <c r="J2" i="1"/>
  <c r="J6" i="1"/>
  <c r="J7" i="1"/>
  <c r="J8" i="1"/>
  <c r="J9" i="1"/>
  <c r="J10" i="1"/>
  <c r="J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<sst xmlns="http://schemas.openxmlformats.org/spreadsheetml/2006/main" count="186" uniqueCount="134">
  <si>
    <t>NAME</t>
  </si>
  <si>
    <t>Student ID</t>
  </si>
  <si>
    <t>Divyesh jadav</t>
  </si>
  <si>
    <t xml:space="preserve">Neev shankar </t>
  </si>
  <si>
    <t>Tirth donga</t>
  </si>
  <si>
    <t>Ved dhameliya</t>
  </si>
  <si>
    <t>tejas varma</t>
  </si>
  <si>
    <t>Yashvi jasani</t>
  </si>
  <si>
    <t>Pransu patel</t>
  </si>
  <si>
    <t>Priya shihora</t>
  </si>
  <si>
    <t>Krinal dholkiya</t>
  </si>
  <si>
    <t>Ashvi aambliya</t>
  </si>
  <si>
    <t>MATHS</t>
  </si>
  <si>
    <t>SCI</t>
  </si>
  <si>
    <t>ENG</t>
  </si>
  <si>
    <t>AVERAGE</t>
  </si>
  <si>
    <t>TOTAL</t>
  </si>
  <si>
    <t>GRADE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</si>
  <si>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</si>
  <si>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</si>
  <si>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</si>
  <si>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</si>
  <si>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</si>
  <si>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</si>
  <si>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</si>
  <si>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</si>
  <si>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</si>
  <si>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</si>
  <si>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</si>
  <si>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</si>
  <si>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</si>
  <si>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</si>
  <si>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</si>
  <si>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</si>
  <si>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</si>
  <si>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</si>
  <si>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</si>
  <si>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</si>
  <si>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</si>
  <si>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</si>
  <si>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</si>
  <si>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</si>
  <si>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</si>
  <si>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</si>
  <si>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</si>
  <si>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</si>
  <si>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</si>
  <si>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SALES ID</t>
  </si>
  <si>
    <t>PRODUCT</t>
  </si>
  <si>
    <t>REGION</t>
  </si>
  <si>
    <t>SALES PERSON</t>
  </si>
  <si>
    <t>AMOUNT</t>
  </si>
  <si>
    <t>DATE</t>
  </si>
  <si>
    <t>SCI &amp; MATHS &gt; 80</t>
  </si>
  <si>
    <t>MATHS &gt; 50</t>
  </si>
  <si>
    <t>AGE</t>
  </si>
  <si>
    <t xml:space="preserve"> NAME UPPER</t>
  </si>
  <si>
    <t>NAME LOWER</t>
  </si>
  <si>
    <t>RANK</t>
  </si>
  <si>
    <t xml:space="preserve">STUDENTS SCORE ABOUVE 60 </t>
  </si>
  <si>
    <t xml:space="preserve">STUDENT NAME WHO SCORE ABOUVE 80 </t>
  </si>
  <si>
    <t>VLOOKUP PRODUCT PRICE</t>
  </si>
  <si>
    <t>Compute discount</t>
  </si>
  <si>
    <t>Check discount eligibility</t>
  </si>
  <si>
    <t>Sum sales for a specific region and product</t>
  </si>
  <si>
    <t>Retrieve product price based on product code</t>
  </si>
  <si>
    <t>PRODUCT CODE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</si>
  <si>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</si>
  <si>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</si>
  <si>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</si>
  <si>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</si>
  <si>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</si>
  <si>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</si>
  <si>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</si>
  <si>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</si>
  <si>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</si>
  <si>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</si>
  <si>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</si>
  <si>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</si>
  <si>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</si>
  <si>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</si>
  <si>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</si>
  <si>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</si>
  <si>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</si>
  <si>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</si>
  <si>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</si>
  <si>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</si>
  <si>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sales person</t>
  </si>
  <si>
    <t xml:space="preserve">month </t>
  </si>
  <si>
    <t>salesperson in specific month amount</t>
  </si>
  <si>
    <t>XMATCH — find product position</t>
  </si>
  <si>
    <t>product</t>
  </si>
  <si>
    <t>OFFSET — Create dynamic sales range</t>
  </si>
  <si>
    <t>Salary</t>
  </si>
  <si>
    <t>Finance</t>
  </si>
  <si>
    <t>HR</t>
  </si>
  <si>
    <t>IT</t>
  </si>
  <si>
    <t>Marketing</t>
  </si>
  <si>
    <t>Empoyees ID</t>
  </si>
  <si>
    <t>Employees 1</t>
  </si>
  <si>
    <t>Employees 2</t>
  </si>
  <si>
    <t>Employees 3</t>
  </si>
  <si>
    <t>Employees 4</t>
  </si>
  <si>
    <t>Employees 5</t>
  </si>
  <si>
    <t>Employees 6</t>
  </si>
  <si>
    <t>Employees 7</t>
  </si>
  <si>
    <t>Employees 8</t>
  </si>
  <si>
    <t>Employees 9</t>
  </si>
  <si>
    <t>Employees 10</t>
  </si>
  <si>
    <t>Employees 11</t>
  </si>
  <si>
    <t>Employees 12</t>
  </si>
  <si>
    <t>Employees 13</t>
  </si>
  <si>
    <t>Employees 14</t>
  </si>
  <si>
    <t>Employees 15</t>
  </si>
  <si>
    <t>Employees 16</t>
  </si>
  <si>
    <t>Employees 17</t>
  </si>
  <si>
    <t>Employees 18</t>
  </si>
  <si>
    <t>Employees 19</t>
  </si>
  <si>
    <t>Employees 20</t>
  </si>
  <si>
    <t>department</t>
  </si>
  <si>
    <t xml:space="preserve">LEFT AND FIND </t>
  </si>
  <si>
    <t>XLOOKUP to fetch employee salaries dynamically</t>
  </si>
  <si>
    <t>JOING DATE</t>
  </si>
  <si>
    <t>CURRENT DATE</t>
  </si>
  <si>
    <t>Years of Service</t>
  </si>
  <si>
    <t>TOTAL SERVICE DAY</t>
  </si>
  <si>
    <t>Look up employee details dynamically without column restrictions</t>
  </si>
  <si>
    <t>Epoyees id</t>
  </si>
  <si>
    <t>Find employee salaries without worrying about sorted data</t>
  </si>
  <si>
    <t>Dynamically reference a cell range using INDIRECT.</t>
  </si>
  <si>
    <t>DOB</t>
  </si>
  <si>
    <t>FETCH STUDENT ID</t>
  </si>
  <si>
    <t>FETCH COLUM NUMBER</t>
  </si>
  <si>
    <t>FETCHED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</si>
</sst>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\:mm\ AM/PM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1F202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4C7C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3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60C9-A716-4631-82B2-36DFF004E91F}">
  <dimension ref="A1:T11"/>
  <sheetViews>
    <sheetView zoomScale="94" zoomScaleNormal="70" workbookViewId="0">
      <selection activeCell="L2" sqref="L2"/>
    </sheetView>
  </sheetViews>
  <sheetFormatPr defaultRowHeight="14.4"/>
  <cols>
    <col min="1" max="1" width="9.109375" style="4" bestFit="1" customWidth="1"/>
    <col min="2" max="2" width="16" style="4" customWidth="1"/>
    <col min="3" max="3" width="18.33203125" style="4" customWidth="1"/>
    <col min="4" max="6" width="8.88671875" style="4"/>
    <col min="7" max="7" width="8.109375" style="4" customWidth="1"/>
    <col min="8" max="8" width="11" style="4" customWidth="1"/>
    <col min="9" max="9" width="9" style="4" customWidth="1"/>
    <col min="10" max="10" width="10.88671875" style="4" customWidth="1"/>
    <col min="11" max="11" width="41.21875" style="4" bestFit="1" customWidth="1"/>
    <col min="12" max="12" width="5.21875" style="4" bestFit="1" customWidth="1"/>
    <col min="13" max="13" width="18.6640625" style="4" bestFit="1" customWidth="1"/>
    <col min="14" max="14" width="12.6640625" style="4" bestFit="1" customWidth="1"/>
    <col min="15" max="15" width="30.88671875" style="4" bestFit="1" customWidth="1"/>
    <col min="16" max="16" width="16.109375" style="4" bestFit="1" customWidth="1"/>
    <col min="17" max="17" width="17.77734375" style="4" customWidth="1"/>
    <col min="18" max="18" width="14.77734375" style="4" customWidth="1"/>
    <col min="19" max="19" width="20.88671875" style="4" bestFit="1" customWidth="1"/>
    <col min="20" max="20" width="12" style="4" bestFit="1" customWidth="1"/>
    <col min="21" max="16384" width="8.88671875" style="4"/>
  </cols>
  <sheetData>
    <row r="1" spans="1:20" s="3" customFormat="1" ht="27" customHeight="1">
      <c r="A1" s="1" t="s">
        <v>1</v>
      </c>
      <c r="B1" s="1" t="s">
        <v>0</v>
      </c>
      <c r="C1" s="1" t="s">
        <v>130</v>
      </c>
      <c r="D1" s="1" t="s">
        <v>12</v>
      </c>
      <c r="E1" s="1" t="s">
        <v>13</v>
      </c>
      <c r="F1" s="1" t="s">
        <v>14</v>
      </c>
      <c r="G1" s="1" t="s">
        <v>16</v>
      </c>
      <c r="H1" s="1" t="s">
        <v>15</v>
      </c>
      <c r="I1" s="1" t="s">
        <v>17</v>
      </c>
      <c r="J1" s="1" t="s">
        <v>58</v>
      </c>
      <c r="K1" s="1" t="s">
        <v>60</v>
      </c>
      <c r="L1" s="1" t="s">
        <v>55</v>
      </c>
      <c r="M1" s="1" t="s">
        <v>53</v>
      </c>
      <c r="N1" s="1" t="s">
        <v>54</v>
      </c>
      <c r="O1" s="1" t="s">
        <v>59</v>
      </c>
      <c r="P1" s="1" t="s">
        <v>120</v>
      </c>
      <c r="Q1" s="1" t="s">
        <v>56</v>
      </c>
      <c r="R1" s="1" t="s">
        <v>57</v>
      </c>
      <c r="S1" s="3" t="s">
        <v>131</v>
      </c>
      <c r="T1" s="29">
        <v>101</v>
      </c>
    </row>
    <row r="2" spans="1:20" ht="15.6">
      <c r="A2" s="2">
        <v>101</v>
      </c>
      <c r="B2" s="2" t="s">
        <v>2</v>
      </c>
      <c r="C2" s="7">
        <v>39790</v>
      </c>
      <c r="D2" s="2">
        <v>100</v>
      </c>
      <c r="E2" s="2">
        <v>97</v>
      </c>
      <c r="F2" s="2">
        <v>96</v>
      </c>
      <c r="G2" s="2">
        <f>SUM(D2:F2)</f>
        <v>293</v>
      </c>
      <c r="H2" s="2">
        <f>AVERAGE(D2:F2)</f>
        <v>97.666666666666671</v>
      </c>
      <c r="I2" s="2" t="str">
        <f>IF(H2&gt;=90, "A", IF(H2&gt;=80, "B", IF(H2&gt;=70, "C", IF(H2&gt;=60, "D", "F"))))</f>
        <v>A</v>
      </c>
      <c r="J2" s="2">
        <f>IF(AVERAGE(D2:F2)&gt;=75,COUNTIFS($I$2:I2,"A")+COUNTIFS($I$2:I2,"B"),"")</f>
        <v>1</v>
      </c>
      <c r="K2" s="2" t="str" cm="1">
        <f t="array" ref="K2:K10">_xlfn._xlws.FILTER(B2:B11,H2:H11&gt;80)</f>
        <v>Divyesh jadav</v>
      </c>
      <c r="L2" s="9">
        <f ca="1">IF(C2&gt;TODAY(),"N/A",DATEDIF(C2,TODAY(),"y"))</f>
        <v>17</v>
      </c>
      <c r="M2" s="2" t="str">
        <f>IF(AND(D2&gt; 80,E2&gt; 80), "YES","NO")</f>
        <v>YES</v>
      </c>
      <c r="N2" s="8">
        <f>COUNTIF(D2:D11, "&gt;50")</f>
        <v>9</v>
      </c>
      <c r="O2" s="8">
        <f>COUNTIFS(H2:H11,"&gt;60")</f>
        <v>10</v>
      </c>
      <c r="P2" s="2" t="str">
        <f>LEFT(B2,FIND(" ",B2)-1)</f>
        <v>Divyesh</v>
      </c>
      <c r="Q2" s="2" t="str">
        <f>UPPER(B2)</f>
        <v>DIVYESH JADAV</v>
      </c>
      <c r="R2" s="2" t="str">
        <f>LOWER(B2)</f>
        <v>divyesh jadav</v>
      </c>
      <c r="S2" s="28" t="s">
        <v>132</v>
      </c>
      <c r="T2" s="2">
        <v>2</v>
      </c>
    </row>
    <row r="3" spans="1:20" ht="15.6">
      <c r="A3" s="2">
        <v>102</v>
      </c>
      <c r="B3" s="2" t="s">
        <v>3</v>
      </c>
      <c r="C3" s="7">
        <v>38941</v>
      </c>
      <c r="D3" s="2">
        <v>95</v>
      </c>
      <c r="E3" s="2">
        <v>100</v>
      </c>
      <c r="F3" s="2">
        <v>89</v>
      </c>
      <c r="G3" s="2">
        <f t="shared" ref="G3:G11" si="0">SUM(D3:F3)</f>
        <v>284</v>
      </c>
      <c r="H3" s="2">
        <f t="shared" ref="H3:H11" si="1">AVERAGE(D3:F3)</f>
        <v>94.666666666666671</v>
      </c>
      <c r="I3" s="2" t="str">
        <f t="shared" ref="I3:I11" si="2">IF(H3&gt;=90, "A", IF(H3&gt;=80, "B", IF(H3&gt;=70, "C", IF(H3&gt;=60, "D", "F"))))</f>
        <v>A</v>
      </c>
      <c r="J3" s="2">
        <f>IF(AVERAGE(D3:F3)&gt;=75,COUNTIFS($I$2:I3,"A")+COUNTIFS($I$2:I3,"B"),"")</f>
        <v>2</v>
      </c>
      <c r="K3" s="2" t="str">
        <v xml:space="preserve">Neev shankar </v>
      </c>
      <c r="L3" s="9">
        <f t="shared" ref="L3:L11" ca="1" si="3">IF(C3&gt;TODAY(),"N/A",DATEDIF(C3,TODAY(),"y"))</f>
        <v>20</v>
      </c>
      <c r="M3" s="2" t="str">
        <f t="shared" ref="M3:M11" si="4">IF(AND(D3&gt; 80,E3&gt; 80), "YES","NO")</f>
        <v>YES</v>
      </c>
      <c r="P3" s="2" t="str">
        <f>LEFT(B3,FIND(" ",B3)-1)</f>
        <v>Neev</v>
      </c>
      <c r="Q3" s="2" t="str">
        <f t="shared" ref="Q3:Q11" si="5">UPPER(B3)</f>
        <v xml:space="preserve">NEEV SHANKAR </v>
      </c>
      <c r="R3" s="2" t="str">
        <f t="shared" ref="R3:R11" si="6">LOWER(B3)</f>
        <v xml:space="preserve">neev shankar </v>
      </c>
      <c r="S3" s="28" t="s">
        <v>133</v>
      </c>
      <c r="T3" s="2" t="str">
        <f>VLOOKUP(T1,A1:J11,T2,FALSE)</f>
        <v>Divyesh jadav</v>
      </c>
    </row>
    <row r="4" spans="1:20" ht="15.6">
      <c r="A4" s="2">
        <v>103</v>
      </c>
      <c r="B4" s="2" t="s">
        <v>4</v>
      </c>
      <c r="C4" s="7">
        <v>38822</v>
      </c>
      <c r="D4" s="2">
        <v>87</v>
      </c>
      <c r="E4" s="2">
        <v>92</v>
      </c>
      <c r="F4" s="2">
        <v>79</v>
      </c>
      <c r="G4" s="2">
        <f t="shared" si="0"/>
        <v>258</v>
      </c>
      <c r="H4" s="2">
        <f t="shared" si="1"/>
        <v>86</v>
      </c>
      <c r="I4" s="2" t="str">
        <f t="shared" si="2"/>
        <v>B</v>
      </c>
      <c r="J4" s="2">
        <f>IF(AVERAGE(D4:F4)&gt;=75,COUNTIFS($I$2:I4,"A")+COUNTIFS($I$2:I4,"B"),"")</f>
        <v>3</v>
      </c>
      <c r="K4" s="2" t="str">
        <v>Tirth donga</v>
      </c>
      <c r="L4" s="9">
        <f t="shared" ca="1" si="3"/>
        <v>20</v>
      </c>
      <c r="M4" s="2" t="str">
        <f t="shared" si="4"/>
        <v>YES</v>
      </c>
      <c r="P4" s="2" t="str">
        <f t="shared" ref="P4:P11" si="7">LEFT(B4,FIND(" ",B4)-1)</f>
        <v>Tirth</v>
      </c>
      <c r="Q4" s="2" t="str">
        <f t="shared" si="5"/>
        <v>TIRTH DONGA</v>
      </c>
      <c r="R4" s="2" t="str">
        <f t="shared" si="6"/>
        <v>tirth donga</v>
      </c>
    </row>
    <row r="5" spans="1:20" ht="15.6">
      <c r="A5" s="2">
        <v>104</v>
      </c>
      <c r="B5" s="2" t="s">
        <v>5</v>
      </c>
      <c r="C5" s="7">
        <v>40712</v>
      </c>
      <c r="D5" s="2">
        <v>50</v>
      </c>
      <c r="E5" s="2">
        <v>87</v>
      </c>
      <c r="F5" s="2">
        <v>85</v>
      </c>
      <c r="G5" s="2">
        <f t="shared" si="0"/>
        <v>222</v>
      </c>
      <c r="H5" s="2">
        <f t="shared" si="1"/>
        <v>74</v>
      </c>
      <c r="I5" s="2" t="str">
        <f t="shared" si="2"/>
        <v>C</v>
      </c>
      <c r="J5" s="2" t="str">
        <f>IF(AVERAGE(D5:F5)&gt;=75,COUNTIFS($I$2:I5,"A")+COUNTIFS($I$2:I5,"B"),"")</f>
        <v/>
      </c>
      <c r="K5" s="2" t="str">
        <v>tejas varma</v>
      </c>
      <c r="L5" s="9">
        <f t="shared" ca="1" si="3"/>
        <v>15</v>
      </c>
      <c r="M5" s="2" t="str">
        <f t="shared" si="4"/>
        <v>NO</v>
      </c>
      <c r="P5" s="2" t="str">
        <f t="shared" si="7"/>
        <v>Ved</v>
      </c>
      <c r="Q5" s="2" t="str">
        <f t="shared" si="5"/>
        <v>VED DHAMELIYA</v>
      </c>
      <c r="R5" s="2" t="str">
        <f t="shared" si="6"/>
        <v>ved dhameliya</v>
      </c>
    </row>
    <row r="6" spans="1:20" ht="15.6">
      <c r="A6" s="2">
        <v>105</v>
      </c>
      <c r="B6" s="2" t="s">
        <v>6</v>
      </c>
      <c r="C6" s="7">
        <v>39543</v>
      </c>
      <c r="D6" s="2">
        <v>97</v>
      </c>
      <c r="E6" s="2">
        <v>81</v>
      </c>
      <c r="F6" s="2">
        <v>98</v>
      </c>
      <c r="G6" s="2">
        <f t="shared" si="0"/>
        <v>276</v>
      </c>
      <c r="H6" s="2">
        <f t="shared" si="1"/>
        <v>92</v>
      </c>
      <c r="I6" s="2" t="str">
        <f t="shared" si="2"/>
        <v>A</v>
      </c>
      <c r="J6" s="2">
        <f>IF(AVERAGE(D6:F6)&gt;=75,COUNTIFS($I$2:I6,"A")+COUNTIFS($I$2:I6,"B"),"")</f>
        <v>4</v>
      </c>
      <c r="K6" s="2" t="str">
        <v>Yashvi jasani</v>
      </c>
      <c r="L6" s="9">
        <f t="shared" ca="1" si="3"/>
        <v>18</v>
      </c>
      <c r="M6" s="2" t="str">
        <f t="shared" si="4"/>
        <v>YES</v>
      </c>
      <c r="P6" s="2" t="str">
        <f t="shared" si="7"/>
        <v>tejas</v>
      </c>
      <c r="Q6" s="2" t="str">
        <f t="shared" si="5"/>
        <v>TEJAS VARMA</v>
      </c>
      <c r="R6" s="2" t="str">
        <f t="shared" si="6"/>
        <v>tejas varma</v>
      </c>
    </row>
    <row r="7" spans="1:20" ht="15.6">
      <c r="A7" s="2">
        <v>106</v>
      </c>
      <c r="B7" s="2" t="s">
        <v>7</v>
      </c>
      <c r="C7" s="7">
        <v>39917</v>
      </c>
      <c r="D7" s="2">
        <v>88</v>
      </c>
      <c r="E7" s="2">
        <v>85</v>
      </c>
      <c r="F7" s="2">
        <v>81</v>
      </c>
      <c r="G7" s="2">
        <f t="shared" si="0"/>
        <v>254</v>
      </c>
      <c r="H7" s="2">
        <f t="shared" si="1"/>
        <v>84.666666666666671</v>
      </c>
      <c r="I7" s="2" t="str">
        <f t="shared" si="2"/>
        <v>B</v>
      </c>
      <c r="J7" s="2">
        <f>IF(AVERAGE(D7:F7)&gt;=75,COUNTIFS($I$2:I7,"A")+COUNTIFS($I$2:I7,"B"),"")</f>
        <v>5</v>
      </c>
      <c r="K7" s="2" t="str">
        <v>Pransu patel</v>
      </c>
      <c r="L7" s="9">
        <f t="shared" ca="1" si="3"/>
        <v>17</v>
      </c>
      <c r="M7" s="2" t="str">
        <f t="shared" si="4"/>
        <v>YES</v>
      </c>
      <c r="P7" s="2" t="str">
        <f t="shared" si="7"/>
        <v>Yashvi</v>
      </c>
      <c r="Q7" s="2" t="str">
        <f t="shared" si="5"/>
        <v>YASHVI JASANI</v>
      </c>
      <c r="R7" s="2" t="str">
        <f t="shared" si="6"/>
        <v>yashvi jasani</v>
      </c>
    </row>
    <row r="8" spans="1:20" ht="15.6">
      <c r="A8" s="2">
        <v>107</v>
      </c>
      <c r="B8" s="2" t="s">
        <v>8</v>
      </c>
      <c r="C8" s="7">
        <v>39830</v>
      </c>
      <c r="D8" s="2">
        <v>80</v>
      </c>
      <c r="E8" s="2">
        <v>89</v>
      </c>
      <c r="F8" s="2">
        <v>83</v>
      </c>
      <c r="G8" s="2">
        <f t="shared" si="0"/>
        <v>252</v>
      </c>
      <c r="H8" s="2">
        <f t="shared" si="1"/>
        <v>84</v>
      </c>
      <c r="I8" s="2" t="str">
        <f t="shared" si="2"/>
        <v>B</v>
      </c>
      <c r="J8" s="2">
        <f>IF(AVERAGE(D8:F8)&gt;=75,COUNTIFS($I$2:I8,"A")+COUNTIFS($I$2:I8,"B"),"")</f>
        <v>6</v>
      </c>
      <c r="K8" s="2" t="str">
        <v>Priya shihora</v>
      </c>
      <c r="L8" s="9">
        <f t="shared" ca="1" si="3"/>
        <v>17</v>
      </c>
      <c r="M8" s="2" t="str">
        <f t="shared" si="4"/>
        <v>NO</v>
      </c>
      <c r="P8" s="2" t="str">
        <f t="shared" si="7"/>
        <v>Pransu</v>
      </c>
      <c r="Q8" s="2" t="str">
        <f t="shared" si="5"/>
        <v>PRANSU PATEL</v>
      </c>
      <c r="R8" s="2" t="str">
        <f t="shared" si="6"/>
        <v>pransu patel</v>
      </c>
    </row>
    <row r="9" spans="1:20" ht="15.6">
      <c r="A9" s="2">
        <v>108</v>
      </c>
      <c r="B9" s="2" t="s">
        <v>9</v>
      </c>
      <c r="C9" s="7">
        <v>38849</v>
      </c>
      <c r="D9" s="2">
        <v>82</v>
      </c>
      <c r="E9" s="2">
        <v>91</v>
      </c>
      <c r="F9" s="2">
        <v>78</v>
      </c>
      <c r="G9" s="2">
        <f t="shared" si="0"/>
        <v>251</v>
      </c>
      <c r="H9" s="2">
        <f t="shared" si="1"/>
        <v>83.666666666666671</v>
      </c>
      <c r="I9" s="2" t="str">
        <f t="shared" si="2"/>
        <v>B</v>
      </c>
      <c r="J9" s="2">
        <f>IF(AVERAGE(D9:F9)&gt;=75,COUNTIFS($I$2:I9,"A")+COUNTIFS($I$2:I9,"B"),"")</f>
        <v>7</v>
      </c>
      <c r="K9" s="2" t="str">
        <v>Krinal dholkiya</v>
      </c>
      <c r="L9" s="9">
        <f t="shared" ca="1" si="3"/>
        <v>20</v>
      </c>
      <c r="M9" s="2" t="str">
        <f t="shared" si="4"/>
        <v>YES</v>
      </c>
      <c r="P9" s="2" t="str">
        <f t="shared" si="7"/>
        <v>Priya</v>
      </c>
      <c r="Q9" s="2" t="str">
        <f t="shared" si="5"/>
        <v>PRIYA SHIHORA</v>
      </c>
      <c r="R9" s="2" t="str">
        <f t="shared" si="6"/>
        <v>priya shihora</v>
      </c>
    </row>
    <row r="10" spans="1:20" ht="15.6">
      <c r="A10" s="2">
        <v>109</v>
      </c>
      <c r="B10" s="2" t="s">
        <v>10</v>
      </c>
      <c r="C10" s="7">
        <v>39877</v>
      </c>
      <c r="D10" s="2">
        <v>89</v>
      </c>
      <c r="E10" s="2">
        <v>85</v>
      </c>
      <c r="F10" s="2">
        <v>84</v>
      </c>
      <c r="G10" s="2">
        <f t="shared" si="0"/>
        <v>258</v>
      </c>
      <c r="H10" s="2">
        <f t="shared" si="1"/>
        <v>86</v>
      </c>
      <c r="I10" s="2" t="str">
        <f t="shared" si="2"/>
        <v>B</v>
      </c>
      <c r="J10" s="2">
        <f>IF(AVERAGE(D10:F10)&gt;=75,COUNTIFS($I$2:I10,"A")+COUNTIFS($I$2:I10,"B"),"")</f>
        <v>8</v>
      </c>
      <c r="K10" s="2" t="str">
        <v>Ashvi aambliya</v>
      </c>
      <c r="L10" s="9">
        <f t="shared" ca="1" si="3"/>
        <v>17</v>
      </c>
      <c r="M10" s="2" t="str">
        <f t="shared" si="4"/>
        <v>YES</v>
      </c>
      <c r="P10" s="2" t="str">
        <f t="shared" si="7"/>
        <v>Krinal</v>
      </c>
      <c r="Q10" s="2" t="str">
        <f t="shared" si="5"/>
        <v>KRINAL DHOLKIYA</v>
      </c>
      <c r="R10" s="2" t="str">
        <f t="shared" si="6"/>
        <v>krinal dholkiya</v>
      </c>
    </row>
    <row r="11" spans="1:20" ht="15.6">
      <c r="A11" s="2">
        <v>110</v>
      </c>
      <c r="B11" s="2" t="s">
        <v>11</v>
      </c>
      <c r="C11" s="7">
        <v>38849</v>
      </c>
      <c r="D11" s="2">
        <v>85</v>
      </c>
      <c r="E11" s="2">
        <v>95</v>
      </c>
      <c r="F11" s="2">
        <v>79</v>
      </c>
      <c r="G11" s="2">
        <f t="shared" si="0"/>
        <v>259</v>
      </c>
      <c r="H11" s="2">
        <f t="shared" si="1"/>
        <v>86.333333333333329</v>
      </c>
      <c r="I11" s="2" t="str">
        <f t="shared" si="2"/>
        <v>B</v>
      </c>
      <c r="J11" s="2">
        <f>IF(AVERAGE(D11:F11)&gt;=75,COUNTIFS($I$2:I11,"A")+COUNTIFS($I$2:I11,"B"),"")</f>
        <v>9</v>
      </c>
      <c r="K11" s="2"/>
      <c r="L11" s="9">
        <f t="shared" ca="1" si="3"/>
        <v>20</v>
      </c>
      <c r="M11" s="2" t="str">
        <f t="shared" si="4"/>
        <v>YES</v>
      </c>
      <c r="P11" s="2" t="str">
        <f t="shared" si="7"/>
        <v>Ashvi</v>
      </c>
      <c r="Q11" s="2" t="str">
        <f t="shared" si="5"/>
        <v>ASHVI AAMBLIYA</v>
      </c>
      <c r="R11" s="2" t="str">
        <f t="shared" si="6"/>
        <v>ashvi aambliya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6965-84AF-4965-BBC6-8824556F1243}">
  <dimension ref="A1:R27"/>
  <sheetViews>
    <sheetView zoomScale="85" zoomScaleNormal="61" workbookViewId="0">
      <selection activeCell="O2" sqref="O2"/>
    </sheetView>
  </sheetViews>
  <sheetFormatPr defaultRowHeight="14.4"/>
  <cols>
    <col min="1" max="1" width="8.88671875" style="4"/>
    <col min="2" max="2" width="15" style="4" bestFit="1" customWidth="1"/>
    <col min="3" max="3" width="9.6640625" style="4" bestFit="1" customWidth="1"/>
    <col min="4" max="4" width="7.88671875" style="4" customWidth="1"/>
    <col min="5" max="5" width="14.5546875" style="4" bestFit="1" customWidth="1"/>
    <col min="6" max="6" width="10.6640625" style="4" customWidth="1"/>
    <col min="7" max="7" width="22.21875" style="4" customWidth="1"/>
    <col min="8" max="8" width="20.88671875" style="4" bestFit="1" customWidth="1"/>
    <col min="9" max="9" width="25" style="4" bestFit="1" customWidth="1"/>
    <col min="10" max="10" width="23.33203125" style="4" bestFit="1" customWidth="1"/>
    <col min="11" max="11" width="39" style="4" bestFit="1" customWidth="1"/>
    <col min="12" max="12" width="41.109375" style="4" bestFit="1" customWidth="1"/>
    <col min="13" max="13" width="27.88671875" style="4" bestFit="1" customWidth="1"/>
    <col min="14" max="14" width="26.33203125" style="4" bestFit="1" customWidth="1"/>
    <col min="15" max="15" width="43.21875" style="4" bestFit="1" customWidth="1"/>
    <col min="16" max="16" width="34.33203125" style="4" customWidth="1"/>
    <col min="17" max="17" width="36.5546875" style="4" bestFit="1" customWidth="1"/>
    <col min="18" max="18" width="32.77734375" style="4" bestFit="1" customWidth="1"/>
    <col min="19" max="16384" width="8.88671875" style="4"/>
  </cols>
  <sheetData>
    <row r="1" spans="1:18" s="3" customFormat="1">
      <c r="A1" s="1" t="s">
        <v>47</v>
      </c>
      <c r="B1" s="1" t="s">
        <v>66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62</v>
      </c>
      <c r="I1" s="1" t="s">
        <v>61</v>
      </c>
      <c r="J1" s="14" t="s">
        <v>63</v>
      </c>
      <c r="K1" s="17" t="s">
        <v>64</v>
      </c>
      <c r="L1" s="16" t="s">
        <v>65</v>
      </c>
      <c r="M1" s="16" t="s">
        <v>87</v>
      </c>
      <c r="N1" s="16" t="s">
        <v>88</v>
      </c>
      <c r="O1" s="1" t="s">
        <v>89</v>
      </c>
      <c r="P1" s="1" t="s">
        <v>91</v>
      </c>
      <c r="Q1" s="21" t="s">
        <v>90</v>
      </c>
      <c r="R1" s="16" t="s">
        <v>92</v>
      </c>
    </row>
    <row r="2" spans="1:18">
      <c r="A2" s="2">
        <v>101</v>
      </c>
      <c r="B2" s="2" t="s">
        <v>67</v>
      </c>
      <c r="C2" s="5" t="s">
        <v>18</v>
      </c>
      <c r="D2" s="5" t="s">
        <v>19</v>
      </c>
      <c r="E2" s="5" t="s">
        <v>20</v>
      </c>
      <c r="F2" s="5">
        <v>7048</v>
      </c>
      <c r="G2" s="6">
        <v>44927</v>
      </c>
      <c r="H2" s="12">
        <f>IF(F2&gt;=40000,F2*20%,IF(F2&gt;=20000,F2*10%,IF(F2&gt;=10000,F2*5%,0)))</f>
        <v>0</v>
      </c>
      <c r="I2" s="13">
        <f>VLOOKUP(C2,$C$2:$F$21,4,FALSE)</f>
        <v>7048</v>
      </c>
      <c r="J2" s="12" t="str">
        <f>IF(OR(C2="Keyboard",C2="Printer"),"Eligible","Not Eligible")</f>
        <v>Eligible</v>
      </c>
      <c r="K2" s="18">
        <f>SUMIFS($F$2:$F$21,$D$2:$D$21,"East",$C$2:$C$21,"Printer")</f>
        <v>25010</v>
      </c>
      <c r="L2" s="19">
        <f>VLOOKUP(B2,$B$2:$F$21,5,FALSE)</f>
        <v>7048</v>
      </c>
      <c r="M2" s="2" t="s">
        <v>29</v>
      </c>
      <c r="N2" s="2">
        <v>3</v>
      </c>
      <c r="O2" s="2" cm="1">
        <f t="array" ref="O2">SUMPRODUCT(($E$2:$E$21=M2)*(MONTH($G$2:$G$21)=N2)*$F$2:$F$21)</f>
        <v>43388</v>
      </c>
      <c r="P2" s="2" t="s">
        <v>18</v>
      </c>
      <c r="Q2" s="22">
        <f>_xlfn.XMATCH(P2,$C$2:$C$21,0)</f>
        <v>1</v>
      </c>
      <c r="R2" s="2" cm="1">
        <f t="array" aca="1" ref="R2:R21" ca="1">OFFSET($F$2,0,0,COUNTA($F$2:$F$21),1)</f>
        <v>7048</v>
      </c>
    </row>
    <row r="3" spans="1:18">
      <c r="A3" s="2">
        <v>102</v>
      </c>
      <c r="B3" s="2" t="s">
        <v>68</v>
      </c>
      <c r="C3" s="5" t="s">
        <v>21</v>
      </c>
      <c r="D3" s="5" t="s">
        <v>22</v>
      </c>
      <c r="E3" s="5" t="s">
        <v>23</v>
      </c>
      <c r="F3" s="5">
        <v>17428</v>
      </c>
      <c r="G3" s="6">
        <v>44942</v>
      </c>
      <c r="H3" s="12">
        <f t="shared" ref="H3:H21" si="0">IF(F3&gt;=40000,F3*20%,IF(F3&gt;=20000,F3*10%,IF(F3&gt;=10000,F3*5%,0)))</f>
        <v>871.40000000000009</v>
      </c>
      <c r="I3" s="13">
        <f t="shared" ref="I3:I21" si="1">VLOOKUP(C3,$C$2:$F$21,4,FALSE)</f>
        <v>17428</v>
      </c>
      <c r="J3" s="12" t="str">
        <f t="shared" ref="J3:J21" si="2">IF(OR(C3="Keyboard",C3="Printer"),"Eligible","Not Eligible")</f>
        <v>Eligible</v>
      </c>
      <c r="K3" s="15"/>
      <c r="L3" s="19">
        <f t="shared" ref="L3:L21" si="3">VLOOKUP(B3,$B$2:$F$21,5,FALSE)</f>
        <v>17428</v>
      </c>
      <c r="R3" s="2">
        <f ca="1"/>
        <v>17428</v>
      </c>
    </row>
    <row r="4" spans="1:18">
      <c r="A4" s="2">
        <v>103</v>
      </c>
      <c r="B4" s="2" t="s">
        <v>69</v>
      </c>
      <c r="C4" s="5" t="s">
        <v>24</v>
      </c>
      <c r="D4" s="5" t="s">
        <v>19</v>
      </c>
      <c r="E4" s="5" t="s">
        <v>25</v>
      </c>
      <c r="F4" s="5">
        <v>23672</v>
      </c>
      <c r="G4" s="6">
        <v>44957</v>
      </c>
      <c r="H4" s="12">
        <f t="shared" si="0"/>
        <v>2367.2000000000003</v>
      </c>
      <c r="I4" s="13">
        <f t="shared" si="1"/>
        <v>23672</v>
      </c>
      <c r="J4" s="12" t="str">
        <f t="shared" si="2"/>
        <v>Not Eligible</v>
      </c>
      <c r="L4" s="19">
        <f t="shared" si="3"/>
        <v>23672</v>
      </c>
      <c r="R4" s="2">
        <f ca="1"/>
        <v>23672</v>
      </c>
    </row>
    <row r="5" spans="1:18">
      <c r="A5" s="2">
        <v>104</v>
      </c>
      <c r="B5" s="2" t="s">
        <v>70</v>
      </c>
      <c r="C5" s="5" t="s">
        <v>21</v>
      </c>
      <c r="D5" s="5" t="s">
        <v>26</v>
      </c>
      <c r="E5" s="5" t="s">
        <v>27</v>
      </c>
      <c r="F5" s="5">
        <v>5264</v>
      </c>
      <c r="G5" s="6">
        <v>44972</v>
      </c>
      <c r="H5" s="12">
        <f t="shared" si="0"/>
        <v>0</v>
      </c>
      <c r="I5" s="13">
        <f t="shared" si="1"/>
        <v>17428</v>
      </c>
      <c r="J5" s="12" t="str">
        <f t="shared" si="2"/>
        <v>Eligible</v>
      </c>
      <c r="L5" s="19">
        <f t="shared" si="3"/>
        <v>5264</v>
      </c>
      <c r="R5" s="2">
        <f ca="1"/>
        <v>5264</v>
      </c>
    </row>
    <row r="6" spans="1:18">
      <c r="A6" s="2">
        <v>105</v>
      </c>
      <c r="B6" s="2" t="s">
        <v>71</v>
      </c>
      <c r="C6" s="5" t="s">
        <v>18</v>
      </c>
      <c r="D6" s="5" t="s">
        <v>28</v>
      </c>
      <c r="E6" s="5" t="s">
        <v>29</v>
      </c>
      <c r="F6" s="5">
        <v>43388</v>
      </c>
      <c r="G6" s="6">
        <v>44987</v>
      </c>
      <c r="H6" s="12">
        <f t="shared" si="0"/>
        <v>8677.6</v>
      </c>
      <c r="I6" s="13">
        <f t="shared" si="1"/>
        <v>7048</v>
      </c>
      <c r="J6" s="12" t="str">
        <f t="shared" si="2"/>
        <v>Eligible</v>
      </c>
      <c r="L6" s="19">
        <f t="shared" si="3"/>
        <v>43388</v>
      </c>
      <c r="R6" s="2">
        <f ca="1"/>
        <v>43388</v>
      </c>
    </row>
    <row r="7" spans="1:18">
      <c r="A7" s="2">
        <v>106</v>
      </c>
      <c r="B7" s="2" t="s">
        <v>72</v>
      </c>
      <c r="C7" s="5" t="s">
        <v>24</v>
      </c>
      <c r="D7" s="5" t="s">
        <v>28</v>
      </c>
      <c r="E7" s="5" t="s">
        <v>30</v>
      </c>
      <c r="F7" s="5">
        <v>19757</v>
      </c>
      <c r="G7" s="6">
        <v>45002</v>
      </c>
      <c r="H7" s="12">
        <f t="shared" si="0"/>
        <v>987.85</v>
      </c>
      <c r="I7" s="13">
        <f t="shared" si="1"/>
        <v>23672</v>
      </c>
      <c r="J7" s="12" t="str">
        <f t="shared" si="2"/>
        <v>Not Eligible</v>
      </c>
      <c r="L7" s="19">
        <f t="shared" si="3"/>
        <v>19757</v>
      </c>
      <c r="R7" s="2">
        <f ca="1"/>
        <v>19757</v>
      </c>
    </row>
    <row r="8" spans="1:18">
      <c r="A8" s="2">
        <v>107</v>
      </c>
      <c r="B8" s="2" t="s">
        <v>73</v>
      </c>
      <c r="C8" s="5" t="s">
        <v>24</v>
      </c>
      <c r="D8" s="5" t="s">
        <v>26</v>
      </c>
      <c r="E8" s="5" t="s">
        <v>31</v>
      </c>
      <c r="F8" s="5">
        <v>32058</v>
      </c>
      <c r="G8" s="6">
        <v>45017</v>
      </c>
      <c r="H8" s="12">
        <f t="shared" si="0"/>
        <v>3205.8</v>
      </c>
      <c r="I8" s="13">
        <f t="shared" si="1"/>
        <v>23672</v>
      </c>
      <c r="J8" s="12" t="str">
        <f t="shared" si="2"/>
        <v>Not Eligible</v>
      </c>
      <c r="L8" s="19">
        <f t="shared" si="3"/>
        <v>32058</v>
      </c>
      <c r="R8" s="2">
        <f ca="1"/>
        <v>32058</v>
      </c>
    </row>
    <row r="9" spans="1:18">
      <c r="A9" s="2">
        <v>108</v>
      </c>
      <c r="B9" s="2" t="s">
        <v>74</v>
      </c>
      <c r="C9" s="5" t="s">
        <v>18</v>
      </c>
      <c r="D9" s="5" t="s">
        <v>26</v>
      </c>
      <c r="E9" s="5" t="s">
        <v>32</v>
      </c>
      <c r="F9" s="5">
        <v>46429</v>
      </c>
      <c r="G9" s="6">
        <v>45032</v>
      </c>
      <c r="H9" s="12">
        <f t="shared" si="0"/>
        <v>9285.8000000000011</v>
      </c>
      <c r="I9" s="13">
        <f t="shared" si="1"/>
        <v>7048</v>
      </c>
      <c r="J9" s="12" t="str">
        <f t="shared" si="2"/>
        <v>Eligible</v>
      </c>
      <c r="L9" s="19">
        <f t="shared" si="3"/>
        <v>46429</v>
      </c>
      <c r="R9" s="2">
        <f ca="1"/>
        <v>46429</v>
      </c>
    </row>
    <row r="10" spans="1:18">
      <c r="A10" s="2">
        <v>109</v>
      </c>
      <c r="B10" s="2" t="s">
        <v>75</v>
      </c>
      <c r="C10" s="5" t="s">
        <v>21</v>
      </c>
      <c r="D10" s="5" t="s">
        <v>26</v>
      </c>
      <c r="E10" s="5" t="s">
        <v>33</v>
      </c>
      <c r="F10" s="5">
        <v>19746</v>
      </c>
      <c r="G10" s="6">
        <v>45047</v>
      </c>
      <c r="H10" s="12">
        <f t="shared" si="0"/>
        <v>987.30000000000007</v>
      </c>
      <c r="I10" s="13">
        <f t="shared" si="1"/>
        <v>17428</v>
      </c>
      <c r="J10" s="12" t="str">
        <f t="shared" si="2"/>
        <v>Eligible</v>
      </c>
      <c r="L10" s="19">
        <f t="shared" si="3"/>
        <v>19746</v>
      </c>
      <c r="R10" s="2">
        <f ca="1"/>
        <v>19746</v>
      </c>
    </row>
    <row r="11" spans="1:18">
      <c r="A11" s="2">
        <v>110</v>
      </c>
      <c r="B11" s="2" t="s">
        <v>76</v>
      </c>
      <c r="C11" s="5" t="s">
        <v>18</v>
      </c>
      <c r="D11" s="5" t="s">
        <v>19</v>
      </c>
      <c r="E11" s="5" t="s">
        <v>34</v>
      </c>
      <c r="F11" s="5">
        <v>35185</v>
      </c>
      <c r="G11" s="6">
        <v>45062</v>
      </c>
      <c r="H11" s="12">
        <f t="shared" si="0"/>
        <v>3518.5</v>
      </c>
      <c r="I11" s="13">
        <f t="shared" si="1"/>
        <v>7048</v>
      </c>
      <c r="J11" s="12" t="str">
        <f t="shared" si="2"/>
        <v>Eligible</v>
      </c>
      <c r="L11" s="19">
        <f t="shared" si="3"/>
        <v>35185</v>
      </c>
      <c r="R11" s="2">
        <f ca="1"/>
        <v>35185</v>
      </c>
    </row>
    <row r="12" spans="1:18">
      <c r="A12" s="2">
        <v>111</v>
      </c>
      <c r="B12" s="2" t="s">
        <v>77</v>
      </c>
      <c r="C12" s="5" t="s">
        <v>18</v>
      </c>
      <c r="D12" s="5" t="s">
        <v>26</v>
      </c>
      <c r="E12" s="5" t="s">
        <v>35</v>
      </c>
      <c r="F12" s="5">
        <v>33920</v>
      </c>
      <c r="G12" s="6">
        <v>45077</v>
      </c>
      <c r="H12" s="12">
        <f t="shared" si="0"/>
        <v>3392</v>
      </c>
      <c r="I12" s="13">
        <f t="shared" si="1"/>
        <v>7048</v>
      </c>
      <c r="J12" s="12" t="str">
        <f t="shared" si="2"/>
        <v>Eligible</v>
      </c>
      <c r="L12" s="19">
        <f t="shared" si="3"/>
        <v>33920</v>
      </c>
      <c r="R12" s="2">
        <f ca="1"/>
        <v>33920</v>
      </c>
    </row>
    <row r="13" spans="1:18">
      <c r="A13" s="2">
        <v>112</v>
      </c>
      <c r="B13" s="2" t="s">
        <v>78</v>
      </c>
      <c r="C13" s="5" t="s">
        <v>36</v>
      </c>
      <c r="D13" s="5" t="s">
        <v>28</v>
      </c>
      <c r="E13" s="5" t="s">
        <v>37</v>
      </c>
      <c r="F13" s="5">
        <v>35611</v>
      </c>
      <c r="G13" s="6">
        <v>45092</v>
      </c>
      <c r="H13" s="12">
        <f t="shared" si="0"/>
        <v>3561.1000000000004</v>
      </c>
      <c r="I13" s="13">
        <f t="shared" si="1"/>
        <v>35611</v>
      </c>
      <c r="J13" s="12" t="str">
        <f t="shared" si="2"/>
        <v>Not Eligible</v>
      </c>
      <c r="L13" s="19">
        <f t="shared" si="3"/>
        <v>35611</v>
      </c>
      <c r="R13" s="2">
        <f ca="1"/>
        <v>35611</v>
      </c>
    </row>
    <row r="14" spans="1:18">
      <c r="A14" s="2">
        <v>113</v>
      </c>
      <c r="B14" s="2" t="s">
        <v>79</v>
      </c>
      <c r="C14" s="5" t="s">
        <v>38</v>
      </c>
      <c r="D14" s="5" t="s">
        <v>26</v>
      </c>
      <c r="E14" s="5" t="s">
        <v>39</v>
      </c>
      <c r="F14" s="5">
        <v>15560</v>
      </c>
      <c r="G14" s="6">
        <v>45107</v>
      </c>
      <c r="H14" s="12">
        <f t="shared" si="0"/>
        <v>778</v>
      </c>
      <c r="I14" s="13">
        <f t="shared" si="1"/>
        <v>15560</v>
      </c>
      <c r="J14" s="12" t="str">
        <f t="shared" si="2"/>
        <v>Not Eligible</v>
      </c>
      <c r="L14" s="19">
        <f t="shared" si="3"/>
        <v>15560</v>
      </c>
      <c r="R14" s="2">
        <f ca="1"/>
        <v>15560</v>
      </c>
    </row>
    <row r="15" spans="1:18">
      <c r="A15" s="2">
        <v>114</v>
      </c>
      <c r="B15" s="2" t="s">
        <v>80</v>
      </c>
      <c r="C15" s="5" t="s">
        <v>38</v>
      </c>
      <c r="D15" s="5" t="s">
        <v>19</v>
      </c>
      <c r="E15" s="5" t="s">
        <v>40</v>
      </c>
      <c r="F15" s="5">
        <v>7283</v>
      </c>
      <c r="G15" s="6">
        <v>45122</v>
      </c>
      <c r="H15" s="12">
        <f t="shared" si="0"/>
        <v>0</v>
      </c>
      <c r="I15" s="13">
        <f t="shared" si="1"/>
        <v>15560</v>
      </c>
      <c r="J15" s="12" t="str">
        <f t="shared" si="2"/>
        <v>Not Eligible</v>
      </c>
      <c r="L15" s="19">
        <f t="shared" si="3"/>
        <v>7283</v>
      </c>
      <c r="R15" s="2">
        <f ca="1"/>
        <v>7283</v>
      </c>
    </row>
    <row r="16" spans="1:18">
      <c r="A16" s="2">
        <v>115</v>
      </c>
      <c r="B16" s="2" t="s">
        <v>81</v>
      </c>
      <c r="C16" s="5" t="s">
        <v>38</v>
      </c>
      <c r="D16" s="5" t="s">
        <v>26</v>
      </c>
      <c r="E16" s="5" t="s">
        <v>41</v>
      </c>
      <c r="F16" s="5">
        <v>15678</v>
      </c>
      <c r="G16" s="6">
        <v>45137</v>
      </c>
      <c r="H16" s="12">
        <f t="shared" si="0"/>
        <v>783.90000000000009</v>
      </c>
      <c r="I16" s="13">
        <f t="shared" si="1"/>
        <v>15560</v>
      </c>
      <c r="J16" s="12" t="str">
        <f t="shared" si="2"/>
        <v>Not Eligible</v>
      </c>
      <c r="L16" s="19">
        <f t="shared" si="3"/>
        <v>15678</v>
      </c>
      <c r="R16" s="2">
        <f ca="1"/>
        <v>15678</v>
      </c>
    </row>
    <row r="17" spans="1:18">
      <c r="A17" s="2">
        <v>116</v>
      </c>
      <c r="B17" s="2" t="s">
        <v>82</v>
      </c>
      <c r="C17" s="5" t="s">
        <v>24</v>
      </c>
      <c r="D17" s="5" t="s">
        <v>26</v>
      </c>
      <c r="E17" s="5" t="s">
        <v>42</v>
      </c>
      <c r="F17" s="5">
        <v>5277</v>
      </c>
      <c r="G17" s="6">
        <v>45152</v>
      </c>
      <c r="H17" s="12">
        <f t="shared" si="0"/>
        <v>0</v>
      </c>
      <c r="I17" s="13">
        <f t="shared" si="1"/>
        <v>23672</v>
      </c>
      <c r="J17" s="12" t="str">
        <f t="shared" si="2"/>
        <v>Not Eligible</v>
      </c>
      <c r="L17" s="19">
        <f t="shared" si="3"/>
        <v>5277</v>
      </c>
      <c r="R17" s="2">
        <f ca="1"/>
        <v>5277</v>
      </c>
    </row>
    <row r="18" spans="1:18">
      <c r="A18" s="2">
        <v>117</v>
      </c>
      <c r="B18" s="2" t="s">
        <v>83</v>
      </c>
      <c r="C18" s="5" t="s">
        <v>36</v>
      </c>
      <c r="D18" s="5" t="s">
        <v>28</v>
      </c>
      <c r="E18" s="5" t="s">
        <v>43</v>
      </c>
      <c r="F18" s="5">
        <v>41871</v>
      </c>
      <c r="G18" s="6">
        <v>45167</v>
      </c>
      <c r="H18" s="12">
        <f t="shared" si="0"/>
        <v>8374.2000000000007</v>
      </c>
      <c r="I18" s="13">
        <f t="shared" si="1"/>
        <v>35611</v>
      </c>
      <c r="J18" s="12" t="str">
        <f t="shared" si="2"/>
        <v>Not Eligible</v>
      </c>
      <c r="L18" s="19">
        <f t="shared" si="3"/>
        <v>41871</v>
      </c>
      <c r="R18" s="2">
        <f ca="1"/>
        <v>41871</v>
      </c>
    </row>
    <row r="19" spans="1:18">
      <c r="A19" s="2">
        <v>118</v>
      </c>
      <c r="B19" s="2" t="s">
        <v>84</v>
      </c>
      <c r="C19" s="5" t="s">
        <v>36</v>
      </c>
      <c r="D19" s="5" t="s">
        <v>22</v>
      </c>
      <c r="E19" s="5" t="s">
        <v>44</v>
      </c>
      <c r="F19" s="5">
        <v>38161</v>
      </c>
      <c r="G19" s="6">
        <v>45182</v>
      </c>
      <c r="H19" s="12">
        <f t="shared" si="0"/>
        <v>3816.1000000000004</v>
      </c>
      <c r="I19" s="13">
        <f t="shared" si="1"/>
        <v>35611</v>
      </c>
      <c r="J19" s="12" t="str">
        <f t="shared" si="2"/>
        <v>Not Eligible</v>
      </c>
      <c r="L19" s="19">
        <f t="shared" si="3"/>
        <v>38161</v>
      </c>
      <c r="R19" s="2">
        <f ca="1"/>
        <v>38161</v>
      </c>
    </row>
    <row r="20" spans="1:18">
      <c r="A20" s="2">
        <v>119</v>
      </c>
      <c r="B20" s="2" t="s">
        <v>85</v>
      </c>
      <c r="C20" s="5" t="s">
        <v>24</v>
      </c>
      <c r="D20" s="5" t="s">
        <v>22</v>
      </c>
      <c r="E20" s="5" t="s">
        <v>45</v>
      </c>
      <c r="F20" s="5">
        <v>30436</v>
      </c>
      <c r="G20" s="6">
        <v>45197</v>
      </c>
      <c r="H20" s="12">
        <f t="shared" si="0"/>
        <v>3043.6000000000004</v>
      </c>
      <c r="I20" s="13">
        <f t="shared" si="1"/>
        <v>23672</v>
      </c>
      <c r="J20" s="12" t="str">
        <f t="shared" si="2"/>
        <v>Not Eligible</v>
      </c>
      <c r="L20" s="19">
        <f t="shared" si="3"/>
        <v>30436</v>
      </c>
      <c r="R20" s="2">
        <f ca="1"/>
        <v>30436</v>
      </c>
    </row>
    <row r="21" spans="1:18">
      <c r="A21" s="2">
        <v>120</v>
      </c>
      <c r="B21" s="2" t="s">
        <v>86</v>
      </c>
      <c r="C21" s="5" t="s">
        <v>21</v>
      </c>
      <c r="D21" s="5" t="s">
        <v>22</v>
      </c>
      <c r="E21" s="5" t="s">
        <v>46</v>
      </c>
      <c r="F21" s="5">
        <v>33953</v>
      </c>
      <c r="G21" s="6">
        <v>45212</v>
      </c>
      <c r="H21" s="12">
        <f t="shared" si="0"/>
        <v>3395.3</v>
      </c>
      <c r="I21" s="13">
        <f t="shared" si="1"/>
        <v>17428</v>
      </c>
      <c r="J21" s="12" t="str">
        <f t="shared" si="2"/>
        <v>Eligible</v>
      </c>
      <c r="L21" s="19">
        <f t="shared" si="3"/>
        <v>33953</v>
      </c>
      <c r="R21" s="2">
        <f ca="1"/>
        <v>33953</v>
      </c>
    </row>
    <row r="24" spans="1:18">
      <c r="A24" s="3"/>
      <c r="B24" s="3"/>
    </row>
    <row r="25" spans="1:18">
      <c r="C25"/>
    </row>
    <row r="26" spans="1:18" ht="15" customHeight="1">
      <c r="C26" s="11"/>
    </row>
    <row r="27" spans="1:18" ht="15.6" customHeight="1">
      <c r="C27" s="10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E706-4263-4461-9704-A8A32BF26DEC}">
  <dimension ref="A1:R21"/>
  <sheetViews>
    <sheetView tabSelected="1" zoomScale="95" workbookViewId="0">
      <selection activeCell="L5" sqref="L5"/>
    </sheetView>
  </sheetViews>
  <sheetFormatPr defaultRowHeight="14.4"/>
  <cols>
    <col min="1" max="1" width="11.21875" bestFit="1" customWidth="1"/>
    <col min="2" max="2" width="12" bestFit="1" customWidth="1"/>
    <col min="3" max="3" width="10.33203125" bestFit="1" customWidth="1"/>
    <col min="5" max="6" width="24.44140625" customWidth="1"/>
    <col min="7" max="7" width="14.109375" bestFit="1" customWidth="1"/>
    <col min="8" max="8" width="17.44140625" bestFit="1" customWidth="1"/>
    <col min="9" max="9" width="24.44140625" customWidth="1"/>
    <col min="10" max="10" width="42.5546875" bestFit="1" customWidth="1"/>
    <col min="11" max="11" width="42.5546875" customWidth="1"/>
    <col min="12" max="12" width="55.33203125" customWidth="1"/>
    <col min="13" max="13" width="8.77734375" customWidth="1"/>
    <col min="15" max="15" width="9.109375" customWidth="1"/>
    <col min="16" max="16" width="10.109375" bestFit="1" customWidth="1"/>
    <col min="17" max="17" width="51.6640625" bestFit="1" customWidth="1"/>
    <col min="18" max="18" width="45" bestFit="1" customWidth="1"/>
  </cols>
  <sheetData>
    <row r="1" spans="1:18" ht="15" thickBot="1">
      <c r="A1" s="16" t="s">
        <v>98</v>
      </c>
      <c r="B1" s="16" t="s">
        <v>0</v>
      </c>
      <c r="C1" s="16" t="s">
        <v>119</v>
      </c>
      <c r="D1" s="16" t="s">
        <v>93</v>
      </c>
      <c r="E1" s="1" t="s">
        <v>122</v>
      </c>
      <c r="F1" s="1" t="s">
        <v>123</v>
      </c>
      <c r="G1" s="20" t="s">
        <v>124</v>
      </c>
      <c r="H1" s="20" t="s">
        <v>125</v>
      </c>
      <c r="I1" s="1" t="s">
        <v>98</v>
      </c>
      <c r="J1" s="16" t="s">
        <v>121</v>
      </c>
      <c r="K1" s="16" t="s">
        <v>98</v>
      </c>
      <c r="L1" s="16" t="s">
        <v>126</v>
      </c>
      <c r="P1" s="16" t="s">
        <v>127</v>
      </c>
      <c r="Q1" s="21" t="s">
        <v>128</v>
      </c>
      <c r="R1" s="16" t="s">
        <v>129</v>
      </c>
    </row>
    <row r="2" spans="1:18">
      <c r="A2" s="12">
        <v>101</v>
      </c>
      <c r="B2" s="12" t="s">
        <v>99</v>
      </c>
      <c r="C2" s="12" t="s">
        <v>94</v>
      </c>
      <c r="D2" s="12">
        <v>86766</v>
      </c>
      <c r="E2" s="6">
        <v>42005</v>
      </c>
      <c r="F2" s="6">
        <f ca="1">TODAY()</f>
        <v>46265</v>
      </c>
      <c r="G2" s="5">
        <f ca="1">DATEDIF(E2,F2,"Y")</f>
        <v>11</v>
      </c>
      <c r="H2" s="27">
        <f ca="1">F2-E2</f>
        <v>4260</v>
      </c>
      <c r="I2" s="27">
        <v>101</v>
      </c>
      <c r="J2" s="25">
        <f>_xlfn.XLOOKUP(I2,$A$2:$A$21,$D$2:$D$21,"Not Found")</f>
        <v>86766</v>
      </c>
      <c r="K2" s="25">
        <v>101</v>
      </c>
      <c r="L2" s="30">
        <f>INDEX(D2:D21,MATCH($K$2,A2:A21,0))</f>
        <v>86766</v>
      </c>
      <c r="M2" s="26"/>
      <c r="N2" s="23"/>
      <c r="P2" s="12">
        <v>105</v>
      </c>
      <c r="Q2" s="22">
        <f>_xlfn.XLOOKUP(P2,$A$2:$A$21,$D$2:$D$21,"Not Found")</f>
        <v>54149</v>
      </c>
      <c r="R2" s="12" cm="1">
        <f t="array" aca="1" ref="R2:R21" ca="1">INDIRECT("D2:D21")</f>
        <v>86766</v>
      </c>
    </row>
    <row r="3" spans="1:18">
      <c r="A3" s="12">
        <v>102</v>
      </c>
      <c r="B3" s="12" t="s">
        <v>100</v>
      </c>
      <c r="C3" s="12" t="s">
        <v>94</v>
      </c>
      <c r="D3" s="12">
        <v>21943</v>
      </c>
      <c r="E3" s="6">
        <v>42020</v>
      </c>
      <c r="F3" s="6">
        <f t="shared" ref="F3:F21" ca="1" si="0">TODAY()</f>
        <v>46265</v>
      </c>
      <c r="G3" s="5">
        <f t="shared" ref="G3:G21" ca="1" si="1">DATEDIF(E3,F3,"Y")</f>
        <v>11</v>
      </c>
      <c r="H3" s="27">
        <f t="shared" ref="H3:H21" ca="1" si="2">F3-E3</f>
        <v>4245</v>
      </c>
      <c r="I3" s="24"/>
      <c r="R3" s="12">
        <f ca="1"/>
        <v>21943</v>
      </c>
    </row>
    <row r="4" spans="1:18">
      <c r="A4" s="12">
        <v>103</v>
      </c>
      <c r="B4" s="12" t="s">
        <v>101</v>
      </c>
      <c r="C4" s="12" t="s">
        <v>95</v>
      </c>
      <c r="D4" s="12">
        <v>63374</v>
      </c>
      <c r="E4" s="6">
        <v>42400</v>
      </c>
      <c r="F4" s="6">
        <f t="shared" ca="1" si="0"/>
        <v>46265</v>
      </c>
      <c r="G4" s="5">
        <f t="shared" ca="1" si="1"/>
        <v>10</v>
      </c>
      <c r="H4" s="27">
        <f t="shared" ca="1" si="2"/>
        <v>3865</v>
      </c>
      <c r="I4" s="24"/>
      <c r="R4" s="12">
        <f ca="1"/>
        <v>63374</v>
      </c>
    </row>
    <row r="5" spans="1:18">
      <c r="A5" s="12">
        <v>104</v>
      </c>
      <c r="B5" s="12" t="s">
        <v>102</v>
      </c>
      <c r="C5" s="12" t="s">
        <v>94</v>
      </c>
      <c r="D5" s="12">
        <v>109972</v>
      </c>
      <c r="E5" s="6">
        <v>44972</v>
      </c>
      <c r="F5" s="6">
        <f t="shared" ca="1" si="0"/>
        <v>46265</v>
      </c>
      <c r="G5" s="5">
        <f t="shared" ca="1" si="1"/>
        <v>3</v>
      </c>
      <c r="H5" s="27">
        <f t="shared" ca="1" si="2"/>
        <v>1293</v>
      </c>
      <c r="I5" s="24"/>
      <c r="R5" s="12">
        <f ca="1"/>
        <v>109972</v>
      </c>
    </row>
    <row r="6" spans="1:18">
      <c r="A6" s="12">
        <v>105</v>
      </c>
      <c r="B6" s="12" t="s">
        <v>103</v>
      </c>
      <c r="C6" s="12" t="s">
        <v>96</v>
      </c>
      <c r="D6" s="12">
        <v>54149</v>
      </c>
      <c r="E6" s="6">
        <v>44987</v>
      </c>
      <c r="F6" s="6">
        <f t="shared" ca="1" si="0"/>
        <v>46265</v>
      </c>
      <c r="G6" s="5">
        <f t="shared" ca="1" si="1"/>
        <v>3</v>
      </c>
      <c r="H6" s="27">
        <f t="shared" ca="1" si="2"/>
        <v>1278</v>
      </c>
      <c r="I6" s="24"/>
      <c r="R6" s="12">
        <f ca="1"/>
        <v>54149</v>
      </c>
    </row>
    <row r="7" spans="1:18">
      <c r="A7" s="12">
        <v>106</v>
      </c>
      <c r="B7" s="12" t="s">
        <v>104</v>
      </c>
      <c r="C7" s="12" t="s">
        <v>96</v>
      </c>
      <c r="D7" s="12">
        <v>78689</v>
      </c>
      <c r="E7" s="6">
        <v>45002</v>
      </c>
      <c r="F7" s="6">
        <f t="shared" ca="1" si="0"/>
        <v>46265</v>
      </c>
      <c r="G7" s="5">
        <f t="shared" ca="1" si="1"/>
        <v>3</v>
      </c>
      <c r="H7" s="27">
        <f t="shared" ca="1" si="2"/>
        <v>1263</v>
      </c>
      <c r="I7" s="24"/>
      <c r="R7" s="12">
        <f ca="1"/>
        <v>78689</v>
      </c>
    </row>
    <row r="8" spans="1:18">
      <c r="A8" s="12">
        <v>107</v>
      </c>
      <c r="B8" s="12" t="s">
        <v>105</v>
      </c>
      <c r="C8" s="12" t="s">
        <v>97</v>
      </c>
      <c r="D8" s="12">
        <v>35960</v>
      </c>
      <c r="E8" s="6">
        <v>45017</v>
      </c>
      <c r="F8" s="6">
        <f t="shared" ca="1" si="0"/>
        <v>46265</v>
      </c>
      <c r="G8" s="5">
        <f t="shared" ca="1" si="1"/>
        <v>3</v>
      </c>
      <c r="H8" s="27">
        <f t="shared" ca="1" si="2"/>
        <v>1248</v>
      </c>
      <c r="I8" s="24"/>
      <c r="R8" s="12">
        <f ca="1"/>
        <v>35960</v>
      </c>
    </row>
    <row r="9" spans="1:18">
      <c r="A9" s="12">
        <v>108</v>
      </c>
      <c r="B9" s="12" t="s">
        <v>106</v>
      </c>
      <c r="C9" s="12" t="s">
        <v>96</v>
      </c>
      <c r="D9" s="12">
        <v>91659</v>
      </c>
      <c r="E9" s="6">
        <v>45032</v>
      </c>
      <c r="F9" s="6">
        <f t="shared" ca="1" si="0"/>
        <v>46265</v>
      </c>
      <c r="G9" s="5">
        <f t="shared" ca="1" si="1"/>
        <v>3</v>
      </c>
      <c r="H9" s="27">
        <f t="shared" ca="1" si="2"/>
        <v>1233</v>
      </c>
      <c r="I9" s="24"/>
      <c r="R9" s="12">
        <f ca="1"/>
        <v>91659</v>
      </c>
    </row>
    <row r="10" spans="1:18">
      <c r="A10" s="12">
        <v>109</v>
      </c>
      <c r="B10" s="12" t="s">
        <v>107</v>
      </c>
      <c r="C10" s="12" t="s">
        <v>96</v>
      </c>
      <c r="D10" s="12">
        <v>90423</v>
      </c>
      <c r="E10" s="6">
        <v>45047</v>
      </c>
      <c r="F10" s="6">
        <f t="shared" ca="1" si="0"/>
        <v>46265</v>
      </c>
      <c r="G10" s="5">
        <f t="shared" ca="1" si="1"/>
        <v>3</v>
      </c>
      <c r="H10" s="27">
        <f t="shared" ca="1" si="2"/>
        <v>1218</v>
      </c>
      <c r="I10" s="24"/>
      <c r="R10" s="12">
        <f ca="1"/>
        <v>90423</v>
      </c>
    </row>
    <row r="11" spans="1:18">
      <c r="A11" s="12">
        <v>110</v>
      </c>
      <c r="B11" s="12" t="s">
        <v>108</v>
      </c>
      <c r="C11" s="12" t="s">
        <v>95</v>
      </c>
      <c r="D11" s="12">
        <v>107877</v>
      </c>
      <c r="E11" s="6">
        <v>45062</v>
      </c>
      <c r="F11" s="6">
        <f t="shared" ca="1" si="0"/>
        <v>46265</v>
      </c>
      <c r="G11" s="5">
        <f t="shared" ca="1" si="1"/>
        <v>3</v>
      </c>
      <c r="H11" s="27">
        <f t="shared" ca="1" si="2"/>
        <v>1203</v>
      </c>
      <c r="I11" s="24"/>
      <c r="R11" s="12">
        <f ca="1"/>
        <v>107877</v>
      </c>
    </row>
    <row r="12" spans="1:18">
      <c r="A12" s="12">
        <v>111</v>
      </c>
      <c r="B12" s="12" t="s">
        <v>109</v>
      </c>
      <c r="C12" s="12" t="s">
        <v>94</v>
      </c>
      <c r="D12" s="12">
        <v>107634</v>
      </c>
      <c r="E12" s="6">
        <v>45077</v>
      </c>
      <c r="F12" s="6">
        <f t="shared" ca="1" si="0"/>
        <v>46265</v>
      </c>
      <c r="G12" s="5">
        <f t="shared" ca="1" si="1"/>
        <v>3</v>
      </c>
      <c r="H12" s="27">
        <f t="shared" ca="1" si="2"/>
        <v>1188</v>
      </c>
      <c r="I12" s="24"/>
      <c r="R12" s="12">
        <f ca="1"/>
        <v>107634</v>
      </c>
    </row>
    <row r="13" spans="1:18">
      <c r="A13" s="12">
        <v>112</v>
      </c>
      <c r="B13" s="12" t="s">
        <v>110</v>
      </c>
      <c r="C13" s="12" t="s">
        <v>94</v>
      </c>
      <c r="D13" s="12">
        <v>35226</v>
      </c>
      <c r="E13" s="6">
        <v>45092</v>
      </c>
      <c r="F13" s="6">
        <f t="shared" ca="1" si="0"/>
        <v>46265</v>
      </c>
      <c r="G13" s="5">
        <f t="shared" ca="1" si="1"/>
        <v>3</v>
      </c>
      <c r="H13" s="27">
        <f t="shared" ca="1" si="2"/>
        <v>1173</v>
      </c>
      <c r="I13" s="24"/>
      <c r="R13" s="12">
        <f ca="1"/>
        <v>35226</v>
      </c>
    </row>
    <row r="14" spans="1:18">
      <c r="A14" s="12">
        <v>113</v>
      </c>
      <c r="B14" s="12" t="s">
        <v>111</v>
      </c>
      <c r="C14" s="12" t="s">
        <v>95</v>
      </c>
      <c r="D14" s="12">
        <v>40872</v>
      </c>
      <c r="E14" s="6">
        <v>45107</v>
      </c>
      <c r="F14" s="6">
        <f t="shared" ca="1" si="0"/>
        <v>46265</v>
      </c>
      <c r="G14" s="5">
        <f t="shared" ca="1" si="1"/>
        <v>3</v>
      </c>
      <c r="H14" s="27">
        <f t="shared" ca="1" si="2"/>
        <v>1158</v>
      </c>
      <c r="I14" s="24"/>
      <c r="R14" s="12">
        <f ca="1"/>
        <v>40872</v>
      </c>
    </row>
    <row r="15" spans="1:18">
      <c r="A15" s="12">
        <v>114</v>
      </c>
      <c r="B15" s="12" t="s">
        <v>112</v>
      </c>
      <c r="C15" s="12" t="s">
        <v>95</v>
      </c>
      <c r="D15" s="12">
        <v>63297</v>
      </c>
      <c r="E15" s="6">
        <v>45122</v>
      </c>
      <c r="F15" s="6">
        <f t="shared" ca="1" si="0"/>
        <v>46265</v>
      </c>
      <c r="G15" s="5">
        <f t="shared" ca="1" si="1"/>
        <v>3</v>
      </c>
      <c r="H15" s="27">
        <f t="shared" ca="1" si="2"/>
        <v>1143</v>
      </c>
      <c r="I15" s="24"/>
      <c r="R15" s="12">
        <f ca="1"/>
        <v>63297</v>
      </c>
    </row>
    <row r="16" spans="1:18">
      <c r="A16" s="12">
        <v>115</v>
      </c>
      <c r="B16" s="12" t="s">
        <v>113</v>
      </c>
      <c r="C16" s="12" t="s">
        <v>95</v>
      </c>
      <c r="D16" s="12">
        <v>114173</v>
      </c>
      <c r="E16" s="6">
        <v>45137</v>
      </c>
      <c r="F16" s="6">
        <f t="shared" ca="1" si="0"/>
        <v>46265</v>
      </c>
      <c r="G16" s="5">
        <f t="shared" ca="1" si="1"/>
        <v>3</v>
      </c>
      <c r="H16" s="27">
        <f t="shared" ca="1" si="2"/>
        <v>1128</v>
      </c>
      <c r="I16" s="24"/>
      <c r="R16" s="12">
        <f ca="1"/>
        <v>114173</v>
      </c>
    </row>
    <row r="17" spans="1:18">
      <c r="A17" s="12">
        <v>116</v>
      </c>
      <c r="B17" s="12" t="s">
        <v>114</v>
      </c>
      <c r="C17" s="12" t="s">
        <v>94</v>
      </c>
      <c r="D17" s="12">
        <v>86915</v>
      </c>
      <c r="E17" s="6">
        <v>45152</v>
      </c>
      <c r="F17" s="6">
        <f t="shared" ca="1" si="0"/>
        <v>46265</v>
      </c>
      <c r="G17" s="5">
        <f t="shared" ca="1" si="1"/>
        <v>3</v>
      </c>
      <c r="H17" s="27">
        <f t="shared" ca="1" si="2"/>
        <v>1113</v>
      </c>
      <c r="I17" s="24"/>
      <c r="R17" s="12">
        <f ca="1"/>
        <v>86915</v>
      </c>
    </row>
    <row r="18" spans="1:18">
      <c r="A18" s="12">
        <v>117</v>
      </c>
      <c r="B18" s="12" t="s">
        <v>115</v>
      </c>
      <c r="C18" s="12" t="s">
        <v>95</v>
      </c>
      <c r="D18" s="12">
        <v>56784</v>
      </c>
      <c r="E18" s="6">
        <v>45167</v>
      </c>
      <c r="F18" s="6">
        <f t="shared" ca="1" si="0"/>
        <v>46265</v>
      </c>
      <c r="G18" s="5">
        <f t="shared" ca="1" si="1"/>
        <v>3</v>
      </c>
      <c r="H18" s="27">
        <f t="shared" ca="1" si="2"/>
        <v>1098</v>
      </c>
      <c r="I18" s="24"/>
      <c r="R18" s="12">
        <f ca="1"/>
        <v>56784</v>
      </c>
    </row>
    <row r="19" spans="1:18">
      <c r="A19" s="12">
        <v>118</v>
      </c>
      <c r="B19" s="12" t="s">
        <v>116</v>
      </c>
      <c r="C19" s="12" t="s">
        <v>96</v>
      </c>
      <c r="D19" s="12">
        <v>116284</v>
      </c>
      <c r="E19" s="6">
        <v>45182</v>
      </c>
      <c r="F19" s="6">
        <f t="shared" ca="1" si="0"/>
        <v>46265</v>
      </c>
      <c r="G19" s="5">
        <f t="shared" ca="1" si="1"/>
        <v>2</v>
      </c>
      <c r="H19" s="27">
        <f t="shared" ca="1" si="2"/>
        <v>1083</v>
      </c>
      <c r="I19" s="24"/>
      <c r="R19" s="12">
        <f ca="1"/>
        <v>116284</v>
      </c>
    </row>
    <row r="20" spans="1:18">
      <c r="A20" s="12">
        <v>119</v>
      </c>
      <c r="B20" s="12" t="s">
        <v>117</v>
      </c>
      <c r="C20" s="12" t="s">
        <v>97</v>
      </c>
      <c r="D20" s="12">
        <v>116283</v>
      </c>
      <c r="E20" s="6">
        <v>45197</v>
      </c>
      <c r="F20" s="6">
        <f t="shared" ca="1" si="0"/>
        <v>46265</v>
      </c>
      <c r="G20" s="5">
        <f t="shared" ca="1" si="1"/>
        <v>2</v>
      </c>
      <c r="H20" s="27">
        <f t="shared" ca="1" si="2"/>
        <v>1068</v>
      </c>
      <c r="I20" s="24"/>
      <c r="R20" s="12">
        <f ca="1"/>
        <v>116283</v>
      </c>
    </row>
    <row r="21" spans="1:18">
      <c r="A21" s="12">
        <v>120</v>
      </c>
      <c r="B21" s="12" t="s">
        <v>118</v>
      </c>
      <c r="C21" s="12" t="s">
        <v>97</v>
      </c>
      <c r="D21" s="12">
        <v>99924</v>
      </c>
      <c r="E21" s="6">
        <v>45212</v>
      </c>
      <c r="F21" s="6">
        <f t="shared" ca="1" si="0"/>
        <v>46265</v>
      </c>
      <c r="G21" s="5">
        <f t="shared" ca="1" si="1"/>
        <v>2</v>
      </c>
      <c r="H21" s="27">
        <f t="shared" ca="1" si="2"/>
        <v>1053</v>
      </c>
      <c r="I21" s="24"/>
      <c r="R21" s="12">
        <f ca="1"/>
        <v>99924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Student_grade</vt:lpstr>
      <vt:lpstr>sales_data</vt:lpstr>
      <vt:lpstr>Empoyees_data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Jadav</dc:creator>
  <cp:lastModifiedBy>Divyesh Jadav</cp:lastModifiedBy>
  <dcterms:created xsi:type="dcterms:W3CDTF">2026-08-26T12:54:40Z</dcterms:created>
  <dcterms:modified xsi:type="dcterms:W3CDTF">2026-08-31T10:45:31Z</dcterms:modified>
</cp:coreProperties>
</file>