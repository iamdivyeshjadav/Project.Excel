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exsel\fainal projecte\"/>
    </mc:Choice>
  </mc:AlternateContent>
  <xr:revisionPtr revIDLastSave="0" documentId="13_ncr:1_{1EE6C3F1-3036-43B7-8DF4-39C40599A255}" xr6:coauthVersionLast="47" xr6:coauthVersionMax="47" xr10:uidLastSave="{00000000-0000-0000-0000-000000000000}"/>
  <bookViews>
    <workbookView xWindow="-108" yWindow="-108" windowWidth="23256" windowHeight="13896" xr2:uid="{9DEEB03F-1EEF-4348-B022-31BA3CADDD49}"/>
  </bookViews>
  <sheets>
    <sheet name="Dashboard" sheetId="8" r:id="rId1"/>
    <sheet name="Row_data" sheetId="1" r:id="rId2"/>
    <sheet name="Clean_Data" sheetId="2" r:id="rId3"/>
    <sheet name="Pivot_Summary" sheetId="3" r:id="rId4"/>
    <sheet name="Advanced_Formulas" sheetId="4" r:id="rId5"/>
    <sheet name="pivot_table" sheetId="10" r:id="rId6"/>
    <sheet name="Documentation" sheetId="5" r:id="rId7"/>
  </sheets>
  <externalReferences>
    <externalReference r:id="rId8"/>
  </externalReferences>
  <definedNames>
    <definedName name="NativeTimeline_InvoiceDate">#N/A</definedName>
    <definedName name="Slicer_Country">#N/A</definedName>
    <definedName name="Slicer_Month">#N/A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 i="8" l="1"/>
  <c r="F11" i="8"/>
  <c r="J11" i="8"/>
  <c r="G6" i="4"/>
  <c r="D15" i="4"/>
  <c r="D16" i="4"/>
  <c r="D17" i="4"/>
  <c r="D18" i="4"/>
  <c r="D19" i="4"/>
  <c r="D20" i="4"/>
  <c r="D21" i="4"/>
  <c r="D22" i="4"/>
  <c r="D23" i="4"/>
  <c r="D14" i="4"/>
  <c r="C15" i="4"/>
  <c r="C16" i="4"/>
  <c r="C17" i="4"/>
  <c r="C18" i="4"/>
  <c r="C19" i="4"/>
  <c r="C20" i="4"/>
  <c r="C21" i="4"/>
  <c r="C22" i="4"/>
  <c r="C23" i="4"/>
  <c r="C14" i="4"/>
  <c r="B15" i="4"/>
  <c r="B16" i="4"/>
  <c r="B17" i="4"/>
  <c r="B18" i="4"/>
  <c r="B19" i="4"/>
  <c r="B20" i="4"/>
  <c r="B21" i="4"/>
  <c r="B22" i="4"/>
  <c r="B23" i="4"/>
  <c r="B14" i="4"/>
  <c r="D9" i="4"/>
  <c r="D8" i="4"/>
  <c r="C9" i="4"/>
  <c r="C8" i="4"/>
  <c r="C6" i="4"/>
  <c r="C5" i="4"/>
  <c r="D4" i="4"/>
  <c r="C4" i="4"/>
  <c r="C7" i="4"/>
  <c r="D7" i="4"/>
  <c r="D6" i="4"/>
  <c r="C20" i="3"/>
  <c r="C21" i="3"/>
  <c r="C22" i="3"/>
  <c r="C19" i="3"/>
  <c r="B20" i="3"/>
  <c r="B21" i="3"/>
  <c r="B22" i="3"/>
  <c r="B19" i="3"/>
  <c r="L3" i="2"/>
  <c r="L4" i="2"/>
  <c r="L5" i="2"/>
  <c r="L6" i="2"/>
  <c r="B5" i="3" s="1"/>
  <c r="L7" i="2"/>
  <c r="L8" i="2"/>
  <c r="C9" i="3" s="1"/>
  <c r="L9" i="2"/>
  <c r="D7" i="3" s="1"/>
  <c r="L10" i="2"/>
  <c r="J10" i="3" s="1"/>
  <c r="L11" i="2"/>
  <c r="D9" i="3" s="1"/>
  <c r="L12" i="2"/>
  <c r="B11" i="3" s="1"/>
  <c r="L13" i="2"/>
  <c r="B12" i="3" s="1"/>
  <c r="L14" i="2"/>
  <c r="D13" i="3" s="1"/>
  <c r="L15" i="2"/>
  <c r="L16" i="2"/>
  <c r="L17" i="2"/>
  <c r="L18" i="2"/>
  <c r="L19" i="2"/>
  <c r="L20" i="2"/>
  <c r="L21" i="2"/>
  <c r="L22" i="2"/>
  <c r="L23" i="2"/>
  <c r="J5" i="3" s="1"/>
  <c r="L24" i="2"/>
  <c r="L25" i="2"/>
  <c r="J12" i="3" s="1"/>
  <c r="L26" i="2"/>
  <c r="D8" i="3" s="1"/>
  <c r="L27" i="2"/>
  <c r="L28" i="2"/>
  <c r="L29" i="2"/>
  <c r="L30" i="2"/>
  <c r="L31" i="2"/>
  <c r="L32" i="2"/>
  <c r="L33" i="2"/>
  <c r="L34" i="2"/>
  <c r="L35" i="2"/>
  <c r="J11" i="3" s="1"/>
  <c r="L36" i="2"/>
  <c r="L37" i="2"/>
  <c r="D14" i="3" s="1"/>
  <c r="L38" i="2"/>
  <c r="L39" i="2"/>
  <c r="L40" i="2"/>
  <c r="L41" i="2"/>
  <c r="L42" i="2"/>
  <c r="L43" i="2"/>
  <c r="L44" i="2"/>
  <c r="L45" i="2"/>
  <c r="L46" i="2"/>
  <c r="L47" i="2"/>
  <c r="L48" i="2"/>
  <c r="L49" i="2"/>
  <c r="B7" i="3" s="1"/>
  <c r="L50" i="2"/>
  <c r="B9" i="3" s="1"/>
  <c r="E9" i="3" s="1"/>
  <c r="L51" i="2"/>
  <c r="L52" i="2"/>
  <c r="L53" i="2"/>
  <c r="L54" i="2"/>
  <c r="L55" i="2"/>
  <c r="L56" i="2"/>
  <c r="L57" i="2"/>
  <c r="L58" i="2"/>
  <c r="L59" i="2"/>
  <c r="L60" i="2"/>
  <c r="C10" i="3" s="1"/>
  <c r="L61" i="2"/>
  <c r="L62" i="2"/>
  <c r="L63" i="2"/>
  <c r="L64" i="2"/>
  <c r="L65" i="2"/>
  <c r="L66" i="2"/>
  <c r="L67" i="2"/>
  <c r="L68" i="2"/>
  <c r="L69" i="2"/>
  <c r="L70" i="2"/>
  <c r="L71" i="2"/>
  <c r="L72" i="2"/>
  <c r="L73" i="2"/>
  <c r="J13" i="3" s="1"/>
  <c r="L74" i="2"/>
  <c r="C7" i="3" s="1"/>
  <c r="L75" i="2"/>
  <c r="L76" i="2"/>
  <c r="L77" i="2"/>
  <c r="L78" i="2"/>
  <c r="L79" i="2"/>
  <c r="L80" i="2"/>
  <c r="L81" i="2"/>
  <c r="L82" i="2"/>
  <c r="L83" i="2"/>
  <c r="C5" i="3" s="1"/>
  <c r="L84" i="2"/>
  <c r="L85" i="2"/>
  <c r="C6" i="3" s="1"/>
  <c r="L86" i="2"/>
  <c r="L87" i="2"/>
  <c r="L88" i="2"/>
  <c r="L89" i="2"/>
  <c r="L90" i="2"/>
  <c r="L91" i="2"/>
  <c r="L92" i="2"/>
  <c r="L93" i="2"/>
  <c r="L94" i="2"/>
  <c r="L95" i="2"/>
  <c r="L96" i="2"/>
  <c r="L97" i="2"/>
  <c r="L98" i="2"/>
  <c r="L99" i="2"/>
  <c r="L100" i="2"/>
  <c r="L101" i="2"/>
  <c r="L102" i="2"/>
  <c r="L103" i="2"/>
  <c r="L104" i="2"/>
  <c r="L105" i="2"/>
  <c r="L106" i="2"/>
  <c r="L107" i="2"/>
  <c r="L108" i="2"/>
  <c r="D5" i="3" s="1"/>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I8" i="3" s="1"/>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I7" i="3" s="1"/>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2"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J9" i="3"/>
  <c r="I9" i="3"/>
  <c r="H9" i="3"/>
  <c r="D6" i="3"/>
  <c r="C8" i="3"/>
  <c r="B10" i="3"/>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2"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D5" i="4" l="1"/>
  <c r="E7" i="3"/>
  <c r="E5" i="3"/>
  <c r="J8" i="3"/>
  <c r="J7" i="3"/>
  <c r="I5" i="3"/>
  <c r="J15" i="3"/>
  <c r="H7" i="3"/>
  <c r="H6" i="3"/>
  <c r="H5" i="3"/>
  <c r="C14" i="3"/>
  <c r="D12" i="3"/>
  <c r="E12" i="3" s="1"/>
  <c r="H15" i="3"/>
  <c r="I15" i="3"/>
  <c r="C13" i="3"/>
  <c r="D11" i="3"/>
  <c r="E11" i="3" s="1"/>
  <c r="H14" i="3"/>
  <c r="I14" i="3"/>
  <c r="J14" i="3"/>
  <c r="J16" i="3"/>
  <c r="D10" i="3"/>
  <c r="E10" i="3" s="1"/>
  <c r="H13" i="3"/>
  <c r="I13" i="3"/>
  <c r="H8" i="3"/>
  <c r="B8" i="3"/>
  <c r="E8" i="3" s="1"/>
  <c r="J6" i="3"/>
  <c r="B6" i="3"/>
  <c r="E6" i="3" s="1"/>
  <c r="H16" i="3"/>
  <c r="B14" i="3"/>
  <c r="E14" i="3" s="1"/>
  <c r="B13" i="3"/>
  <c r="E13" i="3" s="1"/>
  <c r="C11" i="3"/>
  <c r="H12" i="3"/>
  <c r="I12" i="3"/>
  <c r="I6" i="3"/>
  <c r="I16" i="3"/>
  <c r="C12" i="3"/>
  <c r="H11" i="3"/>
  <c r="I11" i="3"/>
  <c r="H10" i="3"/>
  <c r="I10" i="3"/>
</calcChain>
</file>

<file path=xl/sharedStrings.xml><?xml version="1.0" encoding="utf-8"?>
<sst xmlns="http://schemas.openxmlformats.org/spreadsheetml/2006/main" count="2584" uniqueCount="158">
  <si>
    <t>InvoiceNo</t>
  </si>
  <si>
    <t>StockCode</t>
  </si>
  <si>
    <t>Description</t>
  </si>
  <si>
    <t>Quantity</t>
  </si>
  <si>
    <t>InvoiceDate</t>
  </si>
  <si>
    <t>UnitPrice</t>
  </si>
  <si>
    <t>CustomerID</t>
  </si>
  <si>
    <t>Country</t>
  </si>
  <si>
    <t>84029G</t>
  </si>
  <si>
    <t>KNITTED UNION FLAG HOT WATER BOTTLE</t>
  </si>
  <si>
    <t>Portugal</t>
  </si>
  <si>
    <t>C50002</t>
  </si>
  <si>
    <t>84406B</t>
  </si>
  <si>
    <t>CREAM CUPID HEARTS COAT HANGER</t>
  </si>
  <si>
    <t>United Kingdom</t>
  </si>
  <si>
    <t>82494L</t>
  </si>
  <si>
    <t>WOODEN FRAME ANTIQUE WHITE</t>
  </si>
  <si>
    <t>SET OF 3 CAKE TINS PANTRY DESIGN</t>
  </si>
  <si>
    <t>Netherlands</t>
  </si>
  <si>
    <t>LUNCH BAG RED RETROSPOT</t>
  </si>
  <si>
    <t>Australia</t>
  </si>
  <si>
    <t>PACK OF 72 RETROSPOT CAKE CASES</t>
  </si>
  <si>
    <t>Spain</t>
  </si>
  <si>
    <t>France</t>
  </si>
  <si>
    <t>Germany</t>
  </si>
  <si>
    <t>60 TEATIME FAIRY CAKE CASES</t>
  </si>
  <si>
    <t>Belgium</t>
  </si>
  <si>
    <t>PARTY BUNTING</t>
  </si>
  <si>
    <t>Switzerland</t>
  </si>
  <si>
    <t>JUMBO BAG PINK POLKADOT</t>
  </si>
  <si>
    <t>JUMBO BAG DOILEY PATTERNS</t>
  </si>
  <si>
    <t>85123A</t>
  </si>
  <si>
    <t>WHITE HANGING HEART T-LIGHT HOLDER</t>
  </si>
  <si>
    <t>POST</t>
  </si>
  <si>
    <t>POSTAGE</t>
  </si>
  <si>
    <t>C50021</t>
  </si>
  <si>
    <t>REGENCY CAKESTAND 3 TIER</t>
  </si>
  <si>
    <t>EIRE</t>
  </si>
  <si>
    <t>WHITE METAL LANTERN</t>
  </si>
  <si>
    <t>85099B</t>
  </si>
  <si>
    <t>JUMBO BAG RED RETROSPOT</t>
  </si>
  <si>
    <t>PAPER CHAIN KIT 50'S CHRISTMAS</t>
  </si>
  <si>
    <t>C50037</t>
  </si>
  <si>
    <t>84970S</t>
  </si>
  <si>
    <t>HANGING HEART ZINC T-LIGHT HOLDER</t>
  </si>
  <si>
    <t>ASSORTED COLOUR BIRD ORNAMENT</t>
  </si>
  <si>
    <t>ALARM CLOCK BAKELIKE RED</t>
  </si>
  <si>
    <t>C50047</t>
  </si>
  <si>
    <t>C50075</t>
  </si>
  <si>
    <t>JAM MAKING SET WITH JARS</t>
  </si>
  <si>
    <t>C50082</t>
  </si>
  <si>
    <t>C50085</t>
  </si>
  <si>
    <t>C50093</t>
  </si>
  <si>
    <t>C50108</t>
  </si>
  <si>
    <t>C50115</t>
  </si>
  <si>
    <t>C50118</t>
  </si>
  <si>
    <t>C50136</t>
  </si>
  <si>
    <t>C50143</t>
  </si>
  <si>
    <t>C50162</t>
  </si>
  <si>
    <t>C50173</t>
  </si>
  <si>
    <t>C50186</t>
  </si>
  <si>
    <t>C50215</t>
  </si>
  <si>
    <t>C50217</t>
  </si>
  <si>
    <t>C50251</t>
  </si>
  <si>
    <t>C50257</t>
  </si>
  <si>
    <t>C50259</t>
  </si>
  <si>
    <t>C50260</t>
  </si>
  <si>
    <t>C50262</t>
  </si>
  <si>
    <t>C50301</t>
  </si>
  <si>
    <t>C50309</t>
  </si>
  <si>
    <t>C50353</t>
  </si>
  <si>
    <t>C50372</t>
  </si>
  <si>
    <t>C50382</t>
  </si>
  <si>
    <t>C50404</t>
  </si>
  <si>
    <t>C50407</t>
  </si>
  <si>
    <t>C50408</t>
  </si>
  <si>
    <t>C50417</t>
  </si>
  <si>
    <t>C50441</t>
  </si>
  <si>
    <t>C50442</t>
  </si>
  <si>
    <t>C50454</t>
  </si>
  <si>
    <t>C50472</t>
  </si>
  <si>
    <t>C50489</t>
  </si>
  <si>
    <t>C50493</t>
  </si>
  <si>
    <t>C50499</t>
  </si>
  <si>
    <t>Revenue</t>
  </si>
  <si>
    <t>Month</t>
  </si>
  <si>
    <t>Year</t>
  </si>
  <si>
    <t>OrderStatus</t>
  </si>
  <si>
    <t>CustomerSegment</t>
  </si>
  <si>
    <t>Jan</t>
  </si>
  <si>
    <t>Completed</t>
  </si>
  <si>
    <t>Returning</t>
  </si>
  <si>
    <t>Oct</t>
  </si>
  <si>
    <t>Apr</t>
  </si>
  <si>
    <t>Wholesale</t>
  </si>
  <si>
    <t>Dec</t>
  </si>
  <si>
    <t>New</t>
  </si>
  <si>
    <t>Feb</t>
  </si>
  <si>
    <t>Jun</t>
  </si>
  <si>
    <t>Nov</t>
  </si>
  <si>
    <t>May</t>
  </si>
  <si>
    <t>Unknown</t>
  </si>
  <si>
    <t>Mar</t>
  </si>
  <si>
    <t>Aug</t>
  </si>
  <si>
    <t>Jul</t>
  </si>
  <si>
    <t>Sep</t>
  </si>
  <si>
    <t>Orders</t>
  </si>
  <si>
    <t>Units</t>
  </si>
  <si>
    <t>Average Order Value</t>
  </si>
  <si>
    <t>1) Revenue by Country</t>
  </si>
  <si>
    <t>2) Monthly Revenue</t>
  </si>
  <si>
    <t>Segment</t>
  </si>
  <si>
    <t>Pivot-Style Summary Tables</t>
  </si>
  <si>
    <t>3) Revenue by Customer Segment</t>
  </si>
  <si>
    <t>Formula Skill</t>
  </si>
  <si>
    <t>Input / Key</t>
  </si>
  <si>
    <t>Result</t>
  </si>
  <si>
    <t>Formula Used</t>
  </si>
  <si>
    <t>XLOOKUP / VLOOKUP</t>
  </si>
  <si>
    <t>INDEX-MATCH</t>
  </si>
  <si>
    <t>IF condition</t>
  </si>
  <si>
    <t>Nested IF</t>
  </si>
  <si>
    <t>SUMIFS</t>
  </si>
  <si>
    <t>COUNTIFS</t>
  </si>
  <si>
    <t>Rank</t>
  </si>
  <si>
    <t>Performance</t>
  </si>
  <si>
    <t>Selected Country</t>
  </si>
  <si>
    <t>All</t>
  </si>
  <si>
    <t>Selected Year</t>
  </si>
  <si>
    <t>Filtered Revenue</t>
  </si>
  <si>
    <t>Advanced Formulas — Demonstration &amp; Results</t>
  </si>
  <si>
    <t>Interactive Formula Inputs</t>
  </si>
  <si>
    <t>Documentation &amp; Submission Guide</t>
  </si>
  <si>
    <t>1. Dataset Source</t>
  </si>
  <si>
    <t>UCI Machine Learning Repository — Online Retail. The original dataset contains UK online-retail transactions and the fields used here include invoice, stock code, description, quantity, date, unit price, customer and country.</t>
  </si>
  <si>
    <t>2. Raw Data</t>
  </si>
  <si>
    <t>Raw_Data contains the imported/project dataset before preparation. A small number of blanks and a duplicate are intentionally present to demonstrate cleaning.</t>
  </si>
  <si>
    <t>3. Cleaning</t>
  </si>
  <si>
    <t>Clean_Data removes the duplicate, replaces missing quantity/customer values, standardizes cancellation status, and creates Revenue, Month, Year and CustomerSegment fields.</t>
  </si>
  <si>
    <t>4. Pivot Analysis</t>
  </si>
  <si>
    <t>Pivot_Summary contains formula-based pivot-style summaries for country, month and customer segment. These are designed to be easy to inspect and refresh in Excel.</t>
  </si>
  <si>
    <t>5. Advanced Formulas</t>
  </si>
  <si>
    <t>Advanced_Formulas demonstrates XLOOKUP, INDEX-MATCH, IF, nested IF, SUMIFS, COUNTIFS, RANK and AVERAGE.</t>
  </si>
  <si>
    <t>6. Dashboard</t>
  </si>
  <si>
    <t>Dashboard provides KPI cards, a country selector, year selector, monthly trend, product comparison and country revenue chart.</t>
  </si>
  <si>
    <t>7. Interactivity</t>
  </si>
  <si>
    <t>Use the Country dropdown on Dashboard to change the KPI and chart calculations. The project uses dropdown controls as a lightweight alternative to native Excel slicers.</t>
  </si>
  <si>
    <t>8. Presentation</t>
  </si>
  <si>
    <t>Keep Dashboard as the first working sheet during submission, check formulas, verify charts, and save the final workbook using YourName_ExcelDashboard.xlsx.</t>
  </si>
  <si>
    <t>9. 50-Mark Mapping</t>
  </si>
  <si>
    <t>Dataset 2.5 | Cleaning 5 | Pivot/Summary 7.5 | Advanced Formulas 7.5 | Visualization 10 | Interactive Dashboard 12.5 | Documentation 5 = 50 marks.</t>
  </si>
  <si>
    <t>Row Labels</t>
  </si>
  <si>
    <t>Grand Total</t>
  </si>
  <si>
    <t>Sum of Revenue</t>
  </si>
  <si>
    <t>Count of OrderStatus</t>
  </si>
  <si>
    <t>Total Revenue</t>
  </si>
  <si>
    <t>Total Orders</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</si>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</sst>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hh:mm"/>
    <numFmt numFmtId="165" formatCode="\£0.00"/>
    <numFmt numFmtId="166" formatCode="\£#,##0.00"/>
  </numFmts>
  <fonts count="14" x14ac:knownFonts="1">
    <font>
      <sz val="11"/>
      <color theme="1"/>
      <name val="Aptos Narrow"/>
      <family val="2"/>
      <scheme val="minor"/>
    </font>
    <font>
      <b/>
      <sz val="11"/>
      <color rgb="FFFFFFFF"/>
      <name val="Calibri"/>
      <family val="2"/>
    </font>
    <font>
      <sz val="11"/>
      <color rgb="FF000000"/>
      <name val="Calibri"/>
      <family val="2"/>
    </font>
    <font>
      <sz val="16"/>
      <color theme="1"/>
      <name val="Aptos Narrow"/>
      <family val="2"/>
      <scheme val="minor"/>
    </font>
    <font>
      <b/>
      <sz val="18"/>
      <color rgb="FFFFFFFF"/>
      <name val="Calibri"/>
      <family val="2"/>
    </font>
    <font>
      <b/>
      <sz val="11"/>
      <color rgb="FFFFFFFF"/>
      <name val="Calibri"/>
      <family val="2"/>
    </font>
    <font>
      <b/>
      <sz val="11"/>
      <name val="Calibri"/>
      <family val="2"/>
    </font>
    <font>
      <b/>
      <sz val="18"/>
      <color rgb="FFFFFFFF"/>
      <name val="Calibri"/>
      <family val="2"/>
    </font>
    <font>
      <b/>
      <sz val="11"/>
      <color rgb="FF17365D"/>
      <name val="Calibri"/>
      <family val="2"/>
    </font>
    <font>
      <sz val="11"/>
      <color theme="1"/>
      <name val="Calibri"/>
      <family val="2"/>
    </font>
    <font>
      <sz val="12"/>
      <color theme="10"/>
      <name val="Calibri"/>
      <family val="2"/>
    </font>
    <font>
      <b/>
      <sz val="14"/>
      <color theme="1"/>
      <name val="Aptos Narrow"/>
      <family val="2"/>
      <scheme val="minor"/>
    </font>
    <font>
      <b/>
      <sz val="14"/>
      <color theme="0"/>
      <name val="Aptos Narrow"/>
      <family val="2"/>
      <scheme val="minor"/>
    </font>
    <font>
      <b/>
      <sz val="48"/>
      <color theme="1"/>
      <name val="Aptos Narrow"/>
      <family val="2"/>
      <scheme val="minor"/>
    </font>
  </fonts>
  <fills count="10">
    <fill>
      <patternFill patternType="none"/>
    </fill>
    <fill>
      <patternFill patternType="gray125"/>
    </fill>
    <fill>
      <patternFill patternType="solid">
        <fgColor rgb="FF17365D"/>
        <bgColor rgb="FF000000"/>
      </patternFill>
    </fill>
    <fill>
      <patternFill patternType="solid">
        <fgColor rgb="FFF8FBFD"/>
        <bgColor rgb="FF000000"/>
      </patternFill>
    </fill>
    <fill>
      <patternFill patternType="solid">
        <fgColor rgb="FF17365D"/>
      </patternFill>
    </fill>
    <fill>
      <patternFill patternType="solid">
        <fgColor theme="0"/>
        <bgColor indexed="64"/>
      </patternFill>
    </fill>
    <fill>
      <patternFill patternType="solid">
        <fgColor rgb="FF1F4E78"/>
      </patternFill>
    </fill>
    <fill>
      <patternFill patternType="solid">
        <fgColor rgb="FFFFF2CC"/>
      </patternFill>
    </fill>
    <fill>
      <patternFill patternType="solid">
        <fgColor theme="3" tint="0.499984740745262"/>
        <bgColor indexed="64"/>
      </patternFill>
    </fill>
    <fill>
      <patternFill patternType="solid">
        <fgColor rgb="FF173A5D"/>
        <bgColor indexed="64"/>
      </patternFill>
    </fill>
  </fills>
  <borders count="25">
    <border>
      <left/>
      <right/>
      <top/>
      <bottom/>
      <diagonal/>
    </border>
    <border>
      <left style="medium">
        <color rgb="FFB7B7B7"/>
      </left>
      <right style="medium">
        <color rgb="FFB7B7B7"/>
      </right>
      <top style="medium">
        <color rgb="FFB7B7B7"/>
      </top>
      <bottom style="medium">
        <color rgb="FFB7B7B7"/>
      </bottom>
      <diagonal/>
    </border>
    <border>
      <left/>
      <right style="medium">
        <color rgb="FFB7B7B7"/>
      </right>
      <top style="medium">
        <color rgb="FFB7B7B7"/>
      </top>
      <bottom style="medium">
        <color rgb="FFB7B7B7"/>
      </bottom>
      <diagonal/>
    </border>
    <border>
      <left style="medium">
        <color rgb="FFB7B7B7"/>
      </left>
      <right/>
      <top style="medium">
        <color rgb="FFB7B7B7"/>
      </top>
      <bottom style="medium">
        <color rgb="FFB7B7B7"/>
      </bottom>
      <diagonal/>
    </border>
    <border>
      <left/>
      <right style="medium">
        <color rgb="FFB7B7B7"/>
      </right>
      <top/>
      <bottom style="medium">
        <color rgb="FFB7B7B7"/>
      </bottom>
      <diagonal/>
    </border>
    <border>
      <left style="medium">
        <color rgb="FFB7B7B7"/>
      </left>
      <right style="medium">
        <color rgb="FFB7B7B7"/>
      </right>
      <top/>
      <bottom style="medium">
        <color rgb="FFB7B7B7"/>
      </bottom>
      <diagonal/>
    </border>
    <border>
      <left style="medium">
        <color rgb="FFB7B7B7"/>
      </left>
      <right/>
      <top/>
      <bottom style="medium">
        <color rgb="FFB7B7B7"/>
      </bottom>
      <diagonal/>
    </border>
    <border>
      <left/>
      <right style="medium">
        <color rgb="FFB7B7B7"/>
      </right>
      <top style="medium">
        <color rgb="FFB7B7B7"/>
      </top>
      <bottom/>
      <diagonal/>
    </border>
    <border>
      <left style="medium">
        <color rgb="FFB7B7B7"/>
      </left>
      <right style="medium">
        <color rgb="FFB7B7B7"/>
      </right>
      <top style="medium">
        <color rgb="FFB7B7B7"/>
      </top>
      <bottom/>
      <diagonal/>
    </border>
    <border>
      <left style="medium">
        <color rgb="FFB7B7B7"/>
      </left>
      <right/>
      <top style="medium">
        <color rgb="FFB7B7B7"/>
      </top>
      <bottom/>
      <diagonal/>
    </border>
    <border>
      <left/>
      <right/>
      <top style="medium">
        <color rgb="FFB7B7B7"/>
      </top>
      <bottom/>
      <diagonal/>
    </border>
    <border>
      <left style="medium">
        <color rgb="FFB7B7B7"/>
      </left>
      <right/>
      <top/>
      <bottom/>
      <diagonal/>
    </border>
    <border>
      <left style="thin">
        <color rgb="FFB7B7B7"/>
      </left>
      <right style="thin">
        <color rgb="FFB7B7B7"/>
      </right>
      <top style="thin">
        <color rgb="FFB7B7B7"/>
      </top>
      <bottom style="thin">
        <color rgb="FFB7B7B7"/>
      </bottom>
      <diagonal/>
    </border>
    <border>
      <left/>
      <right/>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right style="thin">
        <color theme="0"/>
      </right>
      <top/>
      <bottom/>
      <diagonal/>
    </border>
    <border>
      <left style="thin">
        <color theme="0"/>
      </left>
      <right/>
      <top/>
      <bottom style="thin">
        <color theme="0"/>
      </bottom>
      <diagonal/>
    </border>
    <border>
      <left/>
      <right style="thin">
        <color theme="0"/>
      </right>
      <top/>
      <bottom style="thin">
        <color theme="0"/>
      </bottom>
      <diagonal/>
    </border>
  </borders>
  <cellStyleXfs count="3">
    <xf numFmtId="0" fontId="0" fillId="0" borderId="0"/>
    <xf numFmtId="0" fontId="9" fillId="0" borderId="0"/>
    <xf numFmtId="0" fontId="10" fillId="0" borderId="0"/>
  </cellStyleXfs>
  <cellXfs count="62">
    <xf numFmtId="0" fontId="0" fillId="0" borderId="0" xfId="0"/>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1" xfId="0" applyFont="1" applyFill="1" applyBorder="1" applyAlignment="1">
      <alignment horizontal="center" vertical="center" wrapText="1"/>
    </xf>
    <xf numFmtId="0" fontId="2" fillId="3" borderId="9" xfId="0" applyFont="1" applyFill="1" applyBorder="1" applyAlignment="1">
      <alignment horizontal="center" vertical="center"/>
    </xf>
    <xf numFmtId="164" fontId="2" fillId="3" borderId="9" xfId="0" applyNumberFormat="1" applyFont="1" applyFill="1" applyBorder="1" applyAlignment="1">
      <alignment horizontal="center" vertical="center"/>
    </xf>
    <xf numFmtId="165" fontId="2" fillId="3" borderId="9" xfId="0" applyNumberFormat="1" applyFont="1" applyFill="1" applyBorder="1" applyAlignment="1">
      <alignment horizontal="center" vertical="center"/>
    </xf>
    <xf numFmtId="0" fontId="2" fillId="0" borderId="9" xfId="0" applyFont="1" applyBorder="1" applyAlignment="1">
      <alignment horizontal="center" vertical="center"/>
    </xf>
    <xf numFmtId="164" fontId="2" fillId="0" borderId="9" xfId="0" applyNumberFormat="1" applyFont="1" applyBorder="1" applyAlignment="1">
      <alignment horizontal="center" vertical="center"/>
    </xf>
    <xf numFmtId="165" fontId="2" fillId="0" borderId="9" xfId="0" applyNumberFormat="1" applyFont="1" applyBorder="1" applyAlignment="1">
      <alignment horizontal="center" vertical="center"/>
    </xf>
    <xf numFmtId="0" fontId="2" fillId="3" borderId="10" xfId="0" applyFont="1" applyFill="1" applyBorder="1" applyAlignment="1">
      <alignment horizontal="center" vertical="center"/>
    </xf>
    <xf numFmtId="0" fontId="2" fillId="0" borderId="10" xfId="0" applyFont="1" applyBorder="1" applyAlignment="1">
      <alignment horizontal="center" vertical="center"/>
    </xf>
    <xf numFmtId="0" fontId="2" fillId="0" borderId="1" xfId="0" applyFont="1" applyBorder="1" applyAlignment="1">
      <alignment horizontal="center"/>
    </xf>
    <xf numFmtId="164" fontId="2" fillId="0" borderId="1" xfId="0" applyNumberFormat="1" applyFont="1" applyBorder="1" applyAlignment="1">
      <alignment horizontal="center"/>
    </xf>
    <xf numFmtId="165" fontId="2" fillId="0" borderId="1" xfId="0" applyNumberFormat="1"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164" fontId="2" fillId="0" borderId="8" xfId="0" applyNumberFormat="1" applyFont="1" applyBorder="1" applyAlignment="1">
      <alignment horizontal="center"/>
    </xf>
    <xf numFmtId="165" fontId="2" fillId="0" borderId="8" xfId="0" applyNumberFormat="1" applyFont="1" applyBorder="1" applyAlignment="1">
      <alignment horizontal="center"/>
    </xf>
    <xf numFmtId="0" fontId="1" fillId="4" borderId="12" xfId="0" applyFont="1" applyFill="1" applyBorder="1" applyAlignment="1">
      <alignment horizontal="center" vertical="center" wrapText="1"/>
    </xf>
    <xf numFmtId="0" fontId="0" fillId="0" borderId="12" xfId="0" applyBorder="1" applyAlignment="1">
      <alignment horizontal="center"/>
    </xf>
    <xf numFmtId="166" fontId="0" fillId="0" borderId="12" xfId="0" applyNumberFormat="1" applyBorder="1" applyAlignment="1">
      <alignment horizontal="center"/>
    </xf>
    <xf numFmtId="0" fontId="0" fillId="0" borderId="12" xfId="0" applyBorder="1" applyAlignment="1">
      <alignment horizontal="center" wrapText="1"/>
    </xf>
    <xf numFmtId="166" fontId="0" fillId="0" borderId="12" xfId="0" applyNumberFormat="1" applyBorder="1" applyAlignment="1">
      <alignment horizontal="center" wrapText="1"/>
    </xf>
    <xf numFmtId="0" fontId="0" fillId="0" borderId="12" xfId="0" quotePrefix="1" applyBorder="1" applyAlignment="1">
      <alignment horizontal="center" wrapText="1"/>
    </xf>
    <xf numFmtId="0" fontId="5" fillId="4" borderId="12" xfId="0" applyFont="1" applyFill="1" applyBorder="1" applyAlignment="1">
      <alignment horizontal="center" vertical="center" wrapText="1"/>
    </xf>
    <xf numFmtId="0" fontId="0" fillId="0" borderId="12" xfId="0" applyBorder="1"/>
    <xf numFmtId="166" fontId="0" fillId="0" borderId="12" xfId="0" applyNumberFormat="1" applyBorder="1"/>
    <xf numFmtId="0" fontId="6" fillId="7" borderId="12" xfId="0" applyFont="1" applyFill="1" applyBorder="1"/>
    <xf numFmtId="0" fontId="8" fillId="7" borderId="12" xfId="0" applyFont="1" applyFill="1" applyBorder="1" applyAlignment="1">
      <alignment horizontal="center" vertical="center"/>
    </xf>
    <xf numFmtId="0" fontId="0" fillId="0" borderId="0" xfId="0" pivotButton="1"/>
    <xf numFmtId="0" fontId="0" fillId="0" borderId="0" xfId="0" applyAlignment="1">
      <alignment horizontal="left"/>
    </xf>
    <xf numFmtId="165" fontId="0" fillId="0" borderId="0" xfId="0" applyNumberFormat="1"/>
    <xf numFmtId="0" fontId="0" fillId="0" borderId="12" xfId="0" applyBorder="1" applyAlignment="1">
      <alignment horizontal="center"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4" fillId="6" borderId="0" xfId="0" applyFont="1" applyFill="1" applyAlignment="1">
      <alignment horizontal="center" vertical="center"/>
    </xf>
    <xf numFmtId="0" fontId="3" fillId="5" borderId="13" xfId="0" applyFont="1" applyFill="1" applyBorder="1" applyAlignment="1">
      <alignment horizontal="left" vertical="center"/>
    </xf>
    <xf numFmtId="0" fontId="3" fillId="0" borderId="13" xfId="0" applyFont="1" applyBorder="1" applyAlignment="1">
      <alignment horizontal="left" vertical="center"/>
    </xf>
    <xf numFmtId="0" fontId="0" fillId="0" borderId="13" xfId="0" applyBorder="1" applyAlignment="1">
      <alignment horizontal="left" vertical="center"/>
    </xf>
    <xf numFmtId="0" fontId="0" fillId="0" borderId="0" xfId="0"/>
    <xf numFmtId="0" fontId="7" fillId="6" borderId="0" xfId="0" applyFont="1" applyFill="1" applyAlignment="1">
      <alignment horizontal="center" vertical="center"/>
    </xf>
    <xf numFmtId="0" fontId="3" fillId="0" borderId="0" xfId="0" applyFont="1" applyAlignment="1">
      <alignment horizontal="center" vertical="center"/>
    </xf>
    <xf numFmtId="0" fontId="11" fillId="8" borderId="17" xfId="0" applyFont="1" applyFill="1" applyBorder="1" applyAlignment="1">
      <alignment horizontal="center" vertical="center"/>
    </xf>
    <xf numFmtId="0" fontId="0" fillId="9" borderId="0" xfId="0" applyFill="1"/>
    <xf numFmtId="0" fontId="0" fillId="9" borderId="0" xfId="0" applyFill="1" applyAlignment="1">
      <alignment horizontal="center"/>
    </xf>
    <xf numFmtId="0" fontId="12" fillId="9" borderId="17" xfId="0" applyFont="1" applyFill="1" applyBorder="1" applyAlignment="1">
      <alignment horizontal="center" vertical="center"/>
    </xf>
    <xf numFmtId="0" fontId="12" fillId="9" borderId="19" xfId="0" applyFont="1" applyFill="1" applyBorder="1" applyAlignment="1">
      <alignment horizontal="center" vertical="center"/>
    </xf>
    <xf numFmtId="0" fontId="12" fillId="9" borderId="20" xfId="0" applyFont="1" applyFill="1" applyBorder="1" applyAlignment="1">
      <alignment horizontal="center" vertical="center"/>
    </xf>
    <xf numFmtId="0" fontId="12" fillId="9" borderId="21" xfId="0" applyFont="1" applyFill="1" applyBorder="1" applyAlignment="1">
      <alignment horizontal="center" vertical="center"/>
    </xf>
    <xf numFmtId="0" fontId="12" fillId="9" borderId="18" xfId="0" applyFont="1" applyFill="1" applyBorder="1" applyAlignment="1">
      <alignment horizontal="center" vertical="center"/>
    </xf>
    <xf numFmtId="0" fontId="12" fillId="9" borderId="0" xfId="0" applyFont="1" applyFill="1" applyAlignment="1">
      <alignment horizontal="center" vertical="center"/>
    </xf>
    <xf numFmtId="0" fontId="12" fillId="9" borderId="22" xfId="0" applyFont="1" applyFill="1" applyBorder="1" applyAlignment="1">
      <alignment horizontal="center" vertical="center"/>
    </xf>
    <xf numFmtId="0" fontId="12" fillId="9" borderId="23" xfId="0" applyFont="1" applyFill="1" applyBorder="1" applyAlignment="1">
      <alignment horizontal="center" vertical="center"/>
    </xf>
    <xf numFmtId="0" fontId="12" fillId="9" borderId="16" xfId="0" applyFont="1" applyFill="1" applyBorder="1" applyAlignment="1">
      <alignment horizontal="center" vertical="center"/>
    </xf>
    <xf numFmtId="0" fontId="12" fillId="9" borderId="24" xfId="0" applyFont="1" applyFill="1" applyBorder="1" applyAlignment="1">
      <alignment horizontal="center" vertical="center"/>
    </xf>
    <xf numFmtId="0" fontId="13" fillId="8" borderId="0" xfId="0" applyFont="1" applyFill="1" applyAlignment="1">
      <alignment horizontal="center" vertical="center"/>
    </xf>
    <xf numFmtId="0" fontId="0" fillId="5" borderId="0" xfId="0" applyFill="1"/>
  </cellXfs>
  <cellStyles count="3">
    <cellStyle name="Hyperlink" xfId="2" xr:uid="{45C8E810-4AE8-4AC9-9FC3-83BC592E8E48}"/>
    <cellStyle name="Normal" xfId="0" builtinId="0"/>
    <cellStyle name="Normal 2" xfId="1" xr:uid="{C63E2918-0000-4A2B-A98D-EAE317ECE4A6}"/>
  </cellStyles>
  <dxfs count="29">
    <dxf>
      <font>
        <b val="0"/>
        <i val="0"/>
        <strike val="0"/>
        <condense val="0"/>
        <extend val="0"/>
        <outline val="0"/>
        <shadow val="0"/>
        <u val="none"/>
        <vertAlign val="baseline"/>
        <sz val="11"/>
        <color rgb="FF000000"/>
        <name val="Calibri"/>
        <family val="2"/>
        <scheme val="none"/>
      </font>
      <numFmt numFmtId="0" formatCode="General"/>
      <alignment horizontal="center" vertical="bottom" textRotation="0" wrapText="0" indent="0" justifyLastLine="0" shrinkToFit="0" readingOrder="0"/>
      <border diagonalUp="0" diagonalDown="0">
        <left style="medium">
          <color rgb="FFB7B7B7"/>
        </left>
        <right/>
        <top style="medium">
          <color rgb="FFB7B7B7"/>
        </top>
        <bottom style="medium">
          <color rgb="FFB7B7B7"/>
        </bottom>
        <vertical/>
        <horizontal/>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left style="medium">
          <color rgb="FFB7B7B7"/>
        </left>
        <right style="medium">
          <color rgb="FFB7B7B7"/>
        </right>
        <top style="medium">
          <color rgb="FFB7B7B7"/>
        </top>
        <bottom style="medium">
          <color rgb="FFB7B7B7"/>
        </bottom>
        <vertical/>
        <horizontal/>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left style="medium">
          <color rgb="FFB7B7B7"/>
        </left>
        <right style="medium">
          <color rgb="FFB7B7B7"/>
        </right>
        <top style="medium">
          <color rgb="FFB7B7B7"/>
        </top>
        <bottom style="medium">
          <color rgb="FFB7B7B7"/>
        </bottom>
        <vertical/>
        <horizontal/>
      </border>
    </dxf>
    <dxf>
      <font>
        <b val="0"/>
        <i val="0"/>
        <strike val="0"/>
        <condense val="0"/>
        <extend val="0"/>
        <outline val="0"/>
        <shadow val="0"/>
        <u val="none"/>
        <vertAlign val="baseline"/>
        <sz val="11"/>
        <color rgb="FF000000"/>
        <name val="Calibri"/>
        <family val="2"/>
        <scheme val="none"/>
      </font>
      <numFmt numFmtId="0" formatCode="General"/>
      <alignment horizontal="center" vertical="bottom" textRotation="0" wrapText="0" indent="0" justifyLastLine="0" shrinkToFit="0" readingOrder="0"/>
      <border diagonalUp="0" diagonalDown="0">
        <left style="medium">
          <color rgb="FFB7B7B7"/>
        </left>
        <right style="medium">
          <color rgb="FFB7B7B7"/>
        </right>
        <top style="medium">
          <color rgb="FFB7B7B7"/>
        </top>
        <bottom style="medium">
          <color rgb="FFB7B7B7"/>
        </bottom>
        <vertical/>
        <horizontal/>
      </border>
    </dxf>
    <dxf>
      <font>
        <b val="0"/>
        <i val="0"/>
        <strike val="0"/>
        <condense val="0"/>
        <extend val="0"/>
        <outline val="0"/>
        <shadow val="0"/>
        <u val="none"/>
        <vertAlign val="baseline"/>
        <sz val="11"/>
        <color rgb="FF000000"/>
        <name val="Calibri"/>
        <family val="2"/>
        <scheme val="none"/>
      </font>
      <numFmt numFmtId="165" formatCode="\£0.00"/>
      <alignment horizontal="center" vertical="bottom" textRotation="0" wrapText="0" indent="0" justifyLastLine="0" shrinkToFit="0" readingOrder="0"/>
      <border diagonalUp="0" diagonalDown="0">
        <left style="medium">
          <color rgb="FFB7B7B7"/>
        </left>
        <right style="medium">
          <color rgb="FFB7B7B7"/>
        </right>
        <top style="medium">
          <color rgb="FFB7B7B7"/>
        </top>
        <bottom style="medium">
          <color rgb="FFB7B7B7"/>
        </bottom>
        <vertical/>
        <horizontal/>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left style="medium">
          <color rgb="FFB7B7B7"/>
        </left>
        <right style="medium">
          <color rgb="FFB7B7B7"/>
        </right>
        <top style="medium">
          <color rgb="FFB7B7B7"/>
        </top>
        <bottom style="medium">
          <color rgb="FFB7B7B7"/>
        </bottom>
        <vertical/>
        <horizontal/>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left style="medium">
          <color rgb="FFB7B7B7"/>
        </left>
        <right style="medium">
          <color rgb="FFB7B7B7"/>
        </right>
        <top style="medium">
          <color rgb="FFB7B7B7"/>
        </top>
        <bottom style="medium">
          <color rgb="FFB7B7B7"/>
        </bottom>
        <vertical/>
        <horizontal/>
      </border>
    </dxf>
    <dxf>
      <font>
        <b val="0"/>
        <i val="0"/>
        <strike val="0"/>
        <condense val="0"/>
        <extend val="0"/>
        <outline val="0"/>
        <shadow val="0"/>
        <u val="none"/>
        <vertAlign val="baseline"/>
        <sz val="11"/>
        <color rgb="FF000000"/>
        <name val="Calibri"/>
        <family val="2"/>
        <scheme val="none"/>
      </font>
      <numFmt numFmtId="165" formatCode="\£0.00"/>
      <alignment horizontal="center" vertical="bottom" textRotation="0" wrapText="0" indent="0" justifyLastLine="0" shrinkToFit="0" readingOrder="0"/>
      <border diagonalUp="0" diagonalDown="0">
        <left style="medium">
          <color rgb="FFB7B7B7"/>
        </left>
        <right style="medium">
          <color rgb="FFB7B7B7"/>
        </right>
        <top style="medium">
          <color rgb="FFB7B7B7"/>
        </top>
        <bottom style="medium">
          <color rgb="FFB7B7B7"/>
        </bottom>
        <vertical/>
        <horizontal/>
      </border>
    </dxf>
    <dxf>
      <font>
        <b val="0"/>
        <i val="0"/>
        <strike val="0"/>
        <condense val="0"/>
        <extend val="0"/>
        <outline val="0"/>
        <shadow val="0"/>
        <u val="none"/>
        <vertAlign val="baseline"/>
        <sz val="11"/>
        <color rgb="FF000000"/>
        <name val="Calibri"/>
        <family val="2"/>
        <scheme val="none"/>
      </font>
      <numFmt numFmtId="164" formatCode="dd\-mmm\-yyyy\ hh:mm"/>
      <alignment horizontal="center" vertical="bottom" textRotation="0" wrapText="0" indent="0" justifyLastLine="0" shrinkToFit="0" readingOrder="0"/>
      <border diagonalUp="0" diagonalDown="0">
        <left style="medium">
          <color rgb="FFB7B7B7"/>
        </left>
        <right style="medium">
          <color rgb="FFB7B7B7"/>
        </right>
        <top style="medium">
          <color rgb="FFB7B7B7"/>
        </top>
        <bottom style="medium">
          <color rgb="FFB7B7B7"/>
        </bottom>
        <vertical/>
        <horizontal/>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left style="medium">
          <color rgb="FFB7B7B7"/>
        </left>
        <right style="medium">
          <color rgb="FFB7B7B7"/>
        </right>
        <top style="medium">
          <color rgb="FFB7B7B7"/>
        </top>
        <bottom style="medium">
          <color rgb="FFB7B7B7"/>
        </bottom>
        <vertical/>
        <horizontal/>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left style="medium">
          <color rgb="FFB7B7B7"/>
        </left>
        <right style="medium">
          <color rgb="FFB7B7B7"/>
        </right>
        <top style="medium">
          <color rgb="FFB7B7B7"/>
        </top>
        <bottom style="medium">
          <color rgb="FFB7B7B7"/>
        </bottom>
        <vertical/>
        <horizontal/>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left style="medium">
          <color rgb="FFB7B7B7"/>
        </left>
        <right style="medium">
          <color rgb="FFB7B7B7"/>
        </right>
        <top style="medium">
          <color rgb="FFB7B7B7"/>
        </top>
        <bottom style="medium">
          <color rgb="FFB7B7B7"/>
        </bottom>
        <vertical/>
        <horizontal/>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left/>
        <right style="medium">
          <color rgb="FFB7B7B7"/>
        </right>
        <top style="medium">
          <color rgb="FFB7B7B7"/>
        </top>
        <bottom style="medium">
          <color rgb="FFB7B7B7"/>
        </bottom>
        <vertical/>
        <horizontal/>
      </border>
    </dxf>
    <dxf>
      <border outline="0">
        <top style="medium">
          <color rgb="FFB7B7B7"/>
        </top>
      </border>
    </dxf>
    <dxf>
      <border outline="0">
        <left style="medium">
          <color rgb="FFB7B7B7"/>
        </left>
        <right style="medium">
          <color rgb="FFB7B7B7"/>
        </right>
        <top style="medium">
          <color rgb="FFB7B7B7"/>
        </top>
        <bottom style="medium">
          <color rgb="FFB7B7B7"/>
        </bottom>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border outline="0">
        <bottom style="medium">
          <color rgb="FFB7B7B7"/>
        </bottom>
      </border>
    </dxf>
    <dxf>
      <font>
        <b/>
        <i val="0"/>
        <strike val="0"/>
        <condense val="0"/>
        <extend val="0"/>
        <outline val="0"/>
        <shadow val="0"/>
        <u val="none"/>
        <vertAlign val="baseline"/>
        <sz val="11"/>
        <color rgb="FFFFFFFF"/>
        <name val="Calibri"/>
        <family val="2"/>
        <scheme val="none"/>
      </font>
      <fill>
        <patternFill patternType="solid">
          <fgColor rgb="FF000000"/>
          <bgColor rgb="FF17365D"/>
        </patternFill>
      </fill>
      <alignment horizontal="center" vertical="center" textRotation="0" wrapText="1" indent="0" justifyLastLine="0" shrinkToFit="0" readingOrder="0"/>
      <border diagonalUp="0" diagonalDown="0" outline="0">
        <left style="medium">
          <color rgb="FFB7B7B7"/>
        </left>
        <right style="medium">
          <color rgb="FFB7B7B7"/>
        </right>
        <top/>
        <bottom/>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center" vertical="center" textRotation="0" wrapText="0" indent="0" justifyLastLine="0" shrinkToFit="0" readingOrder="0"/>
      <border diagonalUp="0" diagonalDown="0">
        <left style="medium">
          <color rgb="FFB7B7B7"/>
        </left>
        <right/>
        <top style="medium">
          <color rgb="FFB7B7B7"/>
        </top>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center" vertical="center" textRotation="0" wrapText="0" indent="0" justifyLastLine="0" shrinkToFit="0" readingOrder="0"/>
      <border diagonalUp="0" diagonalDown="0">
        <left style="medium">
          <color rgb="FFB7B7B7"/>
        </left>
        <right/>
        <top style="medium">
          <color rgb="FFB7B7B7"/>
        </top>
        <bottom/>
        <vertical/>
        <horizontal/>
      </border>
    </dxf>
    <dxf>
      <font>
        <b val="0"/>
        <i val="0"/>
        <strike val="0"/>
        <condense val="0"/>
        <extend val="0"/>
        <outline val="0"/>
        <shadow val="0"/>
        <u val="none"/>
        <vertAlign val="baseline"/>
        <sz val="11"/>
        <color rgb="FF000000"/>
        <name val="Calibri"/>
        <family val="2"/>
        <scheme val="none"/>
      </font>
      <numFmt numFmtId="165" formatCode="\£0.00"/>
      <fill>
        <patternFill patternType="solid">
          <fgColor rgb="FF000000"/>
          <bgColor rgb="FFF8FBFD"/>
        </patternFill>
      </fill>
      <alignment horizontal="center" vertical="center" textRotation="0" wrapText="0" indent="0" justifyLastLine="0" shrinkToFit="0" readingOrder="0"/>
      <border diagonalUp="0" diagonalDown="0">
        <left style="medium">
          <color rgb="FFB7B7B7"/>
        </left>
        <right/>
        <top style="medium">
          <color rgb="FFB7B7B7"/>
        </top>
        <bottom/>
        <vertical/>
        <horizontal/>
      </border>
    </dxf>
    <dxf>
      <font>
        <b val="0"/>
        <i val="0"/>
        <strike val="0"/>
        <condense val="0"/>
        <extend val="0"/>
        <outline val="0"/>
        <shadow val="0"/>
        <u val="none"/>
        <vertAlign val="baseline"/>
        <sz val="11"/>
        <color rgb="FF000000"/>
        <name val="Calibri"/>
        <family val="2"/>
        <scheme val="none"/>
      </font>
      <numFmt numFmtId="164" formatCode="dd\-mmm\-yyyy\ hh:mm"/>
      <fill>
        <patternFill patternType="solid">
          <fgColor rgb="FF000000"/>
          <bgColor rgb="FFF8FBFD"/>
        </patternFill>
      </fill>
      <alignment horizontal="center" vertical="center" textRotation="0" wrapText="0" indent="0" justifyLastLine="0" shrinkToFit="0" readingOrder="0"/>
      <border diagonalUp="0" diagonalDown="0">
        <left style="medium">
          <color rgb="FFB7B7B7"/>
        </left>
        <right/>
        <top style="medium">
          <color rgb="FFB7B7B7"/>
        </top>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center" vertical="center" textRotation="0" wrapText="0" indent="0" justifyLastLine="0" shrinkToFit="0" readingOrder="0"/>
      <border diagonalUp="0" diagonalDown="0">
        <left style="medium">
          <color rgb="FFB7B7B7"/>
        </left>
        <right/>
        <top style="medium">
          <color rgb="FFB7B7B7"/>
        </top>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center" vertical="center" textRotation="0" wrapText="0" indent="0" justifyLastLine="0" shrinkToFit="0" readingOrder="0"/>
      <border diagonalUp="0" diagonalDown="0">
        <left style="medium">
          <color rgb="FFB7B7B7"/>
        </left>
        <right/>
        <top style="medium">
          <color rgb="FFB7B7B7"/>
        </top>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center" vertical="center" textRotation="0" wrapText="0" indent="0" justifyLastLine="0" shrinkToFit="0" readingOrder="0"/>
      <border diagonalUp="0" diagonalDown="0">
        <left style="medium">
          <color rgb="FFB7B7B7"/>
        </left>
        <right/>
        <top style="medium">
          <color rgb="FFB7B7B7"/>
        </top>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center" vertical="center" textRotation="0" wrapText="0" indent="0" justifyLastLine="0" shrinkToFit="0" readingOrder="0"/>
      <border diagonalUp="0" diagonalDown="0">
        <left/>
        <right/>
        <top style="medium">
          <color rgb="FFB7B7B7"/>
        </top>
        <bottom/>
        <vertical/>
        <horizontal/>
      </border>
    </dxf>
    <dxf>
      <border outline="0">
        <left style="medium">
          <color rgb="FFB7B7B7"/>
        </left>
        <right style="medium">
          <color rgb="FFB7B7B7"/>
        </right>
        <top style="medium">
          <color rgb="FFB7B7B7"/>
        </top>
        <bottom style="medium">
          <color rgb="FFB7B7B7"/>
        </bottom>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center" vertical="center" textRotation="0" wrapText="0"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rgb="FF000000"/>
          <bgColor rgb="FF17365D"/>
        </patternFill>
      </fill>
      <alignment horizontal="center" vertical="center" textRotation="0" wrapText="1" indent="0" justifyLastLine="0" shrinkToFit="0" readingOrder="0"/>
      <border diagonalUp="0" diagonalDown="0" outline="0">
        <left style="medium">
          <color rgb="FFB7B7B7"/>
        </left>
        <right style="medium">
          <color rgb="FFB7B7B7"/>
        </right>
        <top/>
        <bottom/>
      </border>
    </dxf>
  </dxfs>
  <tableStyles count="0" defaultTableStyle="TableStyleMedium2" defaultPivotStyle="PivotStyleLight16"/>
  <colors>
    <mruColors>
      <color rgb="FF173A5D"/>
      <color rgb="FF040A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Orders</c:v>
          </c:tx>
          <c:spPr>
            <a:solidFill>
              <a:schemeClr val="accent1"/>
            </a:solidFill>
            <a:ln>
              <a:noFill/>
            </a:ln>
            <a:effectLst/>
          </c:spPr>
          <c:invertIfNegative val="0"/>
          <c:cat>
            <c:strLit>
              <c:ptCount val="10"/>
              <c:pt idx="0">
                <c:v>Australia</c:v>
              </c:pt>
              <c:pt idx="1">
                <c:v>Belgium</c:v>
              </c:pt>
              <c:pt idx="2">
                <c:v>EIRE</c:v>
              </c:pt>
              <c:pt idx="3">
                <c:v>France</c:v>
              </c:pt>
              <c:pt idx="4">
                <c:v>Germany</c:v>
              </c:pt>
              <c:pt idx="5">
                <c:v>Netherlands</c:v>
              </c:pt>
              <c:pt idx="6">
                <c:v>Portugal</c:v>
              </c:pt>
              <c:pt idx="7">
                <c:v>Spain</c:v>
              </c:pt>
              <c:pt idx="8">
                <c:v>Switzerland</c:v>
              </c:pt>
              <c:pt idx="9">
                <c:v>United Kingdom</c:v>
              </c:pt>
            </c:strLit>
          </c:cat>
          <c:val>
            <c:numLit>
              <c:formatCode>General</c:formatCode>
              <c:ptCount val="10"/>
              <c:pt idx="0">
                <c:v>48</c:v>
              </c:pt>
              <c:pt idx="1">
                <c:v>46</c:v>
              </c:pt>
              <c:pt idx="2">
                <c:v>42</c:v>
              </c:pt>
              <c:pt idx="3">
                <c:v>49</c:v>
              </c:pt>
              <c:pt idx="4">
                <c:v>49</c:v>
              </c:pt>
              <c:pt idx="5">
                <c:v>57</c:v>
              </c:pt>
              <c:pt idx="6">
                <c:v>51</c:v>
              </c:pt>
              <c:pt idx="7">
                <c:v>43</c:v>
              </c:pt>
              <c:pt idx="8">
                <c:v>42</c:v>
              </c:pt>
              <c:pt idx="9">
                <c:v>34</c:v>
              </c:pt>
            </c:numLit>
          </c:val>
          <c:extLst>
            <c:ext xmlns:c16="http://schemas.microsoft.com/office/drawing/2014/chart" uri="{C3380CC4-5D6E-409C-BE32-E72D297353CC}">
              <c16:uniqueId val="{00000000-E414-49CD-838A-15DCEC466703}"/>
            </c:ext>
          </c:extLst>
        </c:ser>
        <c:ser>
          <c:idx val="1"/>
          <c:order val="1"/>
          <c:tx>
            <c:v>Sum of Average Order Value</c:v>
          </c:tx>
          <c:spPr>
            <a:solidFill>
              <a:schemeClr val="tx2">
                <a:lumMod val="50000"/>
                <a:lumOff val="50000"/>
              </a:schemeClr>
            </a:solidFill>
            <a:ln>
              <a:noFill/>
            </a:ln>
            <a:effectLst/>
          </c:spPr>
          <c:invertIfNegative val="0"/>
          <c:cat>
            <c:strLit>
              <c:ptCount val="10"/>
              <c:pt idx="0">
                <c:v>Australia</c:v>
              </c:pt>
              <c:pt idx="1">
                <c:v>Belgium</c:v>
              </c:pt>
              <c:pt idx="2">
                <c:v>EIRE</c:v>
              </c:pt>
              <c:pt idx="3">
                <c:v>France</c:v>
              </c:pt>
              <c:pt idx="4">
                <c:v>Germany</c:v>
              </c:pt>
              <c:pt idx="5">
                <c:v>Netherlands</c:v>
              </c:pt>
              <c:pt idx="6">
                <c:v>Portugal</c:v>
              </c:pt>
              <c:pt idx="7">
                <c:v>Spain</c:v>
              </c:pt>
              <c:pt idx="8">
                <c:v>Switzerland</c:v>
              </c:pt>
              <c:pt idx="9">
                <c:v>United Kingdom</c:v>
              </c:pt>
            </c:strLit>
          </c:cat>
          <c:val>
            <c:numLit>
              <c:formatCode>General</c:formatCode>
              <c:ptCount val="10"/>
              <c:pt idx="0">
                <c:v>47.009999999999991</c:v>
              </c:pt>
              <c:pt idx="1">
                <c:v>51.967608695652167</c:v>
              </c:pt>
              <c:pt idx="2">
                <c:v>47.570238095238096</c:v>
              </c:pt>
              <c:pt idx="3">
                <c:v>42.276734693877557</c:v>
              </c:pt>
              <c:pt idx="4">
                <c:v>50.354693877551028</c:v>
              </c:pt>
              <c:pt idx="5">
                <c:v>60.518070175438602</c:v>
              </c:pt>
              <c:pt idx="6">
                <c:v>62.255294117647061</c:v>
              </c:pt>
              <c:pt idx="7">
                <c:v>32.514651162790699</c:v>
              </c:pt>
              <c:pt idx="8">
                <c:v>61.76428571428572</c:v>
              </c:pt>
              <c:pt idx="9">
                <c:v>49.868823529411756</c:v>
              </c:pt>
            </c:numLit>
          </c:val>
          <c:extLst>
            <c:ext xmlns:c16="http://schemas.microsoft.com/office/drawing/2014/chart" uri="{C3380CC4-5D6E-409C-BE32-E72D297353CC}">
              <c16:uniqueId val="{00000002-E414-49CD-838A-15DCEC466703}"/>
            </c:ext>
          </c:extLst>
        </c:ser>
        <c:ser>
          <c:idx val="2"/>
          <c:order val="2"/>
          <c:tx>
            <c:v>Sum of Units</c:v>
          </c:tx>
          <c:spPr>
            <a:solidFill>
              <a:schemeClr val="tx2">
                <a:lumMod val="90000"/>
                <a:lumOff val="10000"/>
              </a:schemeClr>
            </a:solidFill>
            <a:ln>
              <a:noFill/>
            </a:ln>
            <a:effectLst/>
          </c:spPr>
          <c:invertIfNegative val="0"/>
          <c:cat>
            <c:strLit>
              <c:ptCount val="10"/>
              <c:pt idx="0">
                <c:v>Australia</c:v>
              </c:pt>
              <c:pt idx="1">
                <c:v>Belgium</c:v>
              </c:pt>
              <c:pt idx="2">
                <c:v>EIRE</c:v>
              </c:pt>
              <c:pt idx="3">
                <c:v>France</c:v>
              </c:pt>
              <c:pt idx="4">
                <c:v>Germany</c:v>
              </c:pt>
              <c:pt idx="5">
                <c:v>Netherlands</c:v>
              </c:pt>
              <c:pt idx="6">
                <c:v>Portugal</c:v>
              </c:pt>
              <c:pt idx="7">
                <c:v>Spain</c:v>
              </c:pt>
              <c:pt idx="8">
                <c:v>Switzerland</c:v>
              </c:pt>
              <c:pt idx="9">
                <c:v>United Kingdom</c:v>
              </c:pt>
            </c:strLit>
          </c:cat>
          <c:val>
            <c:numLit>
              <c:formatCode>General</c:formatCode>
              <c:ptCount val="10"/>
              <c:pt idx="0">
                <c:v>572</c:v>
              </c:pt>
              <c:pt idx="1">
                <c:v>559</c:v>
              </c:pt>
              <c:pt idx="2">
                <c:v>532</c:v>
              </c:pt>
              <c:pt idx="3">
                <c:v>593</c:v>
              </c:pt>
              <c:pt idx="4">
                <c:v>613</c:v>
              </c:pt>
              <c:pt idx="5">
                <c:v>729</c:v>
              </c:pt>
              <c:pt idx="6">
                <c:v>691</c:v>
              </c:pt>
              <c:pt idx="7">
                <c:v>518</c:v>
              </c:pt>
              <c:pt idx="8">
                <c:v>488</c:v>
              </c:pt>
              <c:pt idx="9">
                <c:v>379</c:v>
              </c:pt>
            </c:numLit>
          </c:val>
          <c:extLst>
            <c:ext xmlns:c16="http://schemas.microsoft.com/office/drawing/2014/chart" uri="{C3380CC4-5D6E-409C-BE32-E72D297353CC}">
              <c16:uniqueId val="{00000003-E414-49CD-838A-15DCEC466703}"/>
            </c:ext>
          </c:extLst>
        </c:ser>
        <c:ser>
          <c:idx val="3"/>
          <c:order val="3"/>
          <c:tx>
            <c:v>Sum of Revenue</c:v>
          </c:tx>
          <c:spPr>
            <a:solidFill>
              <a:schemeClr val="accent1">
                <a:lumMod val="40000"/>
                <a:lumOff val="60000"/>
              </a:schemeClr>
            </a:solidFill>
            <a:ln>
              <a:noFill/>
            </a:ln>
            <a:effectLst/>
          </c:spPr>
          <c:invertIfNegative val="0"/>
          <c:cat>
            <c:strLit>
              <c:ptCount val="10"/>
              <c:pt idx="0">
                <c:v>Australia</c:v>
              </c:pt>
              <c:pt idx="1">
                <c:v>Belgium</c:v>
              </c:pt>
              <c:pt idx="2">
                <c:v>EIRE</c:v>
              </c:pt>
              <c:pt idx="3">
                <c:v>France</c:v>
              </c:pt>
              <c:pt idx="4">
                <c:v>Germany</c:v>
              </c:pt>
              <c:pt idx="5">
                <c:v>Netherlands</c:v>
              </c:pt>
              <c:pt idx="6">
                <c:v>Portugal</c:v>
              </c:pt>
              <c:pt idx="7">
                <c:v>Spain</c:v>
              </c:pt>
              <c:pt idx="8">
                <c:v>Switzerland</c:v>
              </c:pt>
              <c:pt idx="9">
                <c:v>United Kingdom</c:v>
              </c:pt>
            </c:strLit>
          </c:cat>
          <c:val>
            <c:numLit>
              <c:formatCode>General</c:formatCode>
              <c:ptCount val="10"/>
              <c:pt idx="0">
                <c:v>2256.4799999999996</c:v>
              </c:pt>
              <c:pt idx="1">
                <c:v>2390.5099999999998</c:v>
              </c:pt>
              <c:pt idx="2">
                <c:v>1997.95</c:v>
              </c:pt>
              <c:pt idx="3">
                <c:v>2071.5600000000004</c:v>
              </c:pt>
              <c:pt idx="4">
                <c:v>2467.3800000000006</c:v>
              </c:pt>
              <c:pt idx="5">
                <c:v>3449.53</c:v>
              </c:pt>
              <c:pt idx="6">
                <c:v>3175.02</c:v>
              </c:pt>
              <c:pt idx="7">
                <c:v>1398.13</c:v>
              </c:pt>
              <c:pt idx="8">
                <c:v>2594.1000000000004</c:v>
              </c:pt>
              <c:pt idx="9">
                <c:v>1695.5399999999997</c:v>
              </c:pt>
            </c:numLit>
          </c:val>
          <c:extLst>
            <c:ext xmlns:c16="http://schemas.microsoft.com/office/drawing/2014/chart" uri="{C3380CC4-5D6E-409C-BE32-E72D297353CC}">
              <c16:uniqueId val="{00000004-E414-49CD-838A-15DCEC466703}"/>
            </c:ext>
          </c:extLst>
        </c:ser>
        <c:dLbls>
          <c:showLegendKey val="0"/>
          <c:showVal val="0"/>
          <c:showCatName val="0"/>
          <c:showSerName val="0"/>
          <c:showPercent val="0"/>
          <c:showBubbleSize val="0"/>
        </c:dLbls>
        <c:gapWidth val="219"/>
        <c:overlap val="-27"/>
        <c:axId val="1712310047"/>
        <c:axId val="1715951503"/>
      </c:barChart>
      <c:catAx>
        <c:axId val="171231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951503"/>
        <c:crosses val="autoZero"/>
        <c:auto val="1"/>
        <c:lblAlgn val="ctr"/>
        <c:lblOffset val="100"/>
        <c:noMultiLvlLbl val="0"/>
      </c:catAx>
      <c:valAx>
        <c:axId val="171595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31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39524135570004E-2"/>
          <c:y val="7.407407407407407E-2"/>
          <c:w val="0.71658535889535546"/>
          <c:h val="0.84204505686789155"/>
        </c:manualLayout>
      </c:layout>
      <c:barChart>
        <c:barDir val="col"/>
        <c:grouping val="clustered"/>
        <c:varyColors val="0"/>
        <c:ser>
          <c:idx val="0"/>
          <c:order val="0"/>
          <c:tx>
            <c:v>Sum of Revenue</c:v>
          </c:tx>
          <c:spPr>
            <a:solidFill>
              <a:schemeClr val="accent1">
                <a:lumMod val="40000"/>
                <a:lumOff val="60000"/>
              </a:schemeClr>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1965.1900000000005</c:v>
              </c:pt>
              <c:pt idx="1">
                <c:v>1718.9599999999996</c:v>
              </c:pt>
              <c:pt idx="2">
                <c:v>1313.3500000000001</c:v>
              </c:pt>
              <c:pt idx="3">
                <c:v>1051.24</c:v>
              </c:pt>
              <c:pt idx="4">
                <c:v>1510.5299999999997</c:v>
              </c:pt>
              <c:pt idx="5">
                <c:v>2163.2799999999997</c:v>
              </c:pt>
              <c:pt idx="6">
                <c:v>2368.8799999999997</c:v>
              </c:pt>
              <c:pt idx="7">
                <c:v>3634.6200000000003</c:v>
              </c:pt>
              <c:pt idx="8">
                <c:v>2073.5700000000002</c:v>
              </c:pt>
              <c:pt idx="9">
                <c:v>2117.09</c:v>
              </c:pt>
              <c:pt idx="10">
                <c:v>1533.4300000000003</c:v>
              </c:pt>
              <c:pt idx="11">
                <c:v>2046.06</c:v>
              </c:pt>
            </c:numLit>
          </c:val>
          <c:extLst>
            <c:ext xmlns:c16="http://schemas.microsoft.com/office/drawing/2014/chart" uri="{C3380CC4-5D6E-409C-BE32-E72D297353CC}">
              <c16:uniqueId val="{00000000-D1E8-4291-AC05-69F39AF248EF}"/>
            </c:ext>
          </c:extLst>
        </c:ser>
        <c:ser>
          <c:idx val="1"/>
          <c:order val="1"/>
          <c:tx>
            <c:v>Sum of Units</c:v>
          </c:tx>
          <c:spPr>
            <a:solidFill>
              <a:schemeClr val="tx2">
                <a:lumMod val="75000"/>
                <a:lumOff val="25000"/>
              </a:schemeClr>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475</c:v>
              </c:pt>
              <c:pt idx="1">
                <c:v>445</c:v>
              </c:pt>
              <c:pt idx="2">
                <c:v>458</c:v>
              </c:pt>
              <c:pt idx="3">
                <c:v>363</c:v>
              </c:pt>
              <c:pt idx="4">
                <c:v>432</c:v>
              </c:pt>
              <c:pt idx="5">
                <c:v>543</c:v>
              </c:pt>
              <c:pt idx="6">
                <c:v>516</c:v>
              </c:pt>
              <c:pt idx="7">
                <c:v>668</c:v>
              </c:pt>
              <c:pt idx="8">
                <c:v>492</c:v>
              </c:pt>
              <c:pt idx="9">
                <c:v>467</c:v>
              </c:pt>
              <c:pt idx="10">
                <c:v>364</c:v>
              </c:pt>
              <c:pt idx="11">
                <c:v>451</c:v>
              </c:pt>
            </c:numLit>
          </c:val>
          <c:extLst>
            <c:ext xmlns:c16="http://schemas.microsoft.com/office/drawing/2014/chart" uri="{C3380CC4-5D6E-409C-BE32-E72D297353CC}">
              <c16:uniqueId val="{00000002-D1E8-4291-AC05-69F39AF248EF}"/>
            </c:ext>
          </c:extLst>
        </c:ser>
        <c:ser>
          <c:idx val="2"/>
          <c:order val="2"/>
          <c:tx>
            <c:v>Sum of Orders</c:v>
          </c:tx>
          <c:spPr>
            <a:solidFill>
              <a:schemeClr val="accent3"/>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39</c:v>
              </c:pt>
              <c:pt idx="1">
                <c:v>39</c:v>
              </c:pt>
              <c:pt idx="2">
                <c:v>39</c:v>
              </c:pt>
              <c:pt idx="3">
                <c:v>32</c:v>
              </c:pt>
              <c:pt idx="4">
                <c:v>35</c:v>
              </c:pt>
              <c:pt idx="5">
                <c:v>40</c:v>
              </c:pt>
              <c:pt idx="6">
                <c:v>45</c:v>
              </c:pt>
              <c:pt idx="7">
                <c:v>45</c:v>
              </c:pt>
              <c:pt idx="8">
                <c:v>40</c:v>
              </c:pt>
              <c:pt idx="9">
                <c:v>36</c:v>
              </c:pt>
              <c:pt idx="10">
                <c:v>35</c:v>
              </c:pt>
              <c:pt idx="11">
                <c:v>36</c:v>
              </c:pt>
            </c:numLit>
          </c:val>
          <c:extLst>
            <c:ext xmlns:c16="http://schemas.microsoft.com/office/drawing/2014/chart" uri="{C3380CC4-5D6E-409C-BE32-E72D297353CC}">
              <c16:uniqueId val="{00000003-D1E8-4291-AC05-69F39AF248EF}"/>
            </c:ext>
          </c:extLst>
        </c:ser>
        <c:dLbls>
          <c:showLegendKey val="0"/>
          <c:showVal val="0"/>
          <c:showCatName val="0"/>
          <c:showSerName val="0"/>
          <c:showPercent val="0"/>
          <c:showBubbleSize val="0"/>
        </c:dLbls>
        <c:gapWidth val="219"/>
        <c:overlap val="-27"/>
        <c:axId val="1746847167"/>
        <c:axId val="1715888623"/>
      </c:barChart>
      <c:catAx>
        <c:axId val="174684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888623"/>
        <c:crosses val="autoZero"/>
        <c:auto val="1"/>
        <c:lblAlgn val="ctr"/>
        <c:lblOffset val="100"/>
        <c:noMultiLvlLbl val="0"/>
      </c:catAx>
      <c:valAx>
        <c:axId val="171588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84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Orders</c:v>
          </c:tx>
          <c:spPr>
            <a:solidFill>
              <a:schemeClr val="accent1"/>
            </a:solidFill>
            <a:ln>
              <a:noFill/>
            </a:ln>
            <a:effectLst/>
          </c:spPr>
          <c:invertIfNegative val="0"/>
          <c:cat>
            <c:strLit>
              <c:ptCount val="4"/>
              <c:pt idx="0">
                <c:v>New</c:v>
              </c:pt>
              <c:pt idx="1">
                <c:v>Returning</c:v>
              </c:pt>
              <c:pt idx="2">
                <c:v>Unknown</c:v>
              </c:pt>
              <c:pt idx="3">
                <c:v>Wholesale</c:v>
              </c:pt>
            </c:strLit>
          </c:cat>
          <c:val>
            <c:numLit>
              <c:formatCode>General</c:formatCode>
              <c:ptCount val="4"/>
              <c:pt idx="0">
                <c:v>191</c:v>
              </c:pt>
              <c:pt idx="1">
                <c:v>162</c:v>
              </c:pt>
              <c:pt idx="2">
                <c:v>1</c:v>
              </c:pt>
              <c:pt idx="3">
                <c:v>146</c:v>
              </c:pt>
            </c:numLit>
          </c:val>
          <c:extLst>
            <c:ext xmlns:c16="http://schemas.microsoft.com/office/drawing/2014/chart" uri="{C3380CC4-5D6E-409C-BE32-E72D297353CC}">
              <c16:uniqueId val="{00000000-997D-417A-BBDE-412FB087E4FE}"/>
            </c:ext>
          </c:extLst>
        </c:ser>
        <c:ser>
          <c:idx val="1"/>
          <c:order val="1"/>
          <c:tx>
            <c:v>Sum of Revenue</c:v>
          </c:tx>
          <c:spPr>
            <a:solidFill>
              <a:schemeClr val="accent1">
                <a:lumMod val="40000"/>
                <a:lumOff val="60000"/>
              </a:schemeClr>
            </a:solidFill>
            <a:ln>
              <a:noFill/>
            </a:ln>
            <a:effectLst/>
          </c:spPr>
          <c:invertIfNegative val="0"/>
          <c:cat>
            <c:strLit>
              <c:ptCount val="4"/>
              <c:pt idx="0">
                <c:v>New</c:v>
              </c:pt>
              <c:pt idx="1">
                <c:v>Returning</c:v>
              </c:pt>
              <c:pt idx="2">
                <c:v>Unknown</c:v>
              </c:pt>
              <c:pt idx="3">
                <c:v>Wholesale</c:v>
              </c:pt>
            </c:strLit>
          </c:cat>
          <c:val>
            <c:numLit>
              <c:formatCode>General</c:formatCode>
              <c:ptCount val="4"/>
              <c:pt idx="0">
                <c:v>9056.1399999999976</c:v>
              </c:pt>
              <c:pt idx="1">
                <c:v>6517.7400000000016</c:v>
              </c:pt>
              <c:pt idx="2">
                <c:v>24.06</c:v>
              </c:pt>
              <c:pt idx="3">
                <c:v>7898.2599999999984</c:v>
              </c:pt>
            </c:numLit>
          </c:val>
          <c:extLst>
            <c:ext xmlns:c16="http://schemas.microsoft.com/office/drawing/2014/chart" uri="{C3380CC4-5D6E-409C-BE32-E72D297353CC}">
              <c16:uniqueId val="{00000002-997D-417A-BBDE-412FB087E4FE}"/>
            </c:ext>
          </c:extLst>
        </c:ser>
        <c:dLbls>
          <c:showLegendKey val="0"/>
          <c:showVal val="0"/>
          <c:showCatName val="0"/>
          <c:showSerName val="0"/>
          <c:showPercent val="0"/>
          <c:showBubbleSize val="0"/>
        </c:dLbls>
        <c:gapWidth val="219"/>
        <c:overlap val="-27"/>
        <c:axId val="1746857839"/>
        <c:axId val="1715755663"/>
      </c:barChart>
      <c:catAx>
        <c:axId val="174685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755663"/>
        <c:crosses val="autoZero"/>
        <c:auto val="1"/>
        <c:lblAlgn val="ctr"/>
        <c:lblOffset val="100"/>
        <c:noMultiLvlLbl val="0"/>
      </c:catAx>
      <c:valAx>
        <c:axId val="171575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85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922020</xdr:colOff>
      <xdr:row>15</xdr:row>
      <xdr:rowOff>95250</xdr:rowOff>
    </xdr:from>
    <xdr:to>
      <xdr:col>5</xdr:col>
      <xdr:colOff>304800</xdr:colOff>
      <xdr:row>30</xdr:row>
      <xdr:rowOff>95250</xdr:rowOff>
    </xdr:to>
    <xdr:graphicFrame macro="">
      <xdr:nvGraphicFramePr>
        <xdr:cNvPr id="4" name="Chart 3">
          <a:extLst>
            <a:ext uri="{FF2B5EF4-FFF2-40B4-BE49-F238E27FC236}">
              <a16:creationId xmlns:a16="http://schemas.microsoft.com/office/drawing/2014/main" id="{71AE3352-75AA-8C04-3D24-638A3B6B3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563880</xdr:colOff>
      <xdr:row>31</xdr:row>
      <xdr:rowOff>95250</xdr:rowOff>
    </xdr:from>
    <xdr:to>
      <xdr:col>17</xdr:col>
      <xdr:colOff>41189</xdr:colOff>
      <xdr:row>46</xdr:row>
      <xdr:rowOff>95250</xdr:rowOff>
    </xdr:to>
    <xdr:graphicFrame macro="">
      <xdr:nvGraphicFramePr>
        <xdr:cNvPr id="5" name="Chart 4">
          <a:extLst>
            <a:ext uri="{FF2B5EF4-FFF2-40B4-BE49-F238E27FC236}">
              <a16:creationId xmlns:a16="http://schemas.microsoft.com/office/drawing/2014/main" id="{6C5E3BA1-07FB-D997-B3CD-A04EC631F3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22860</xdr:colOff>
      <xdr:row>31</xdr:row>
      <xdr:rowOff>125730</xdr:rowOff>
    </xdr:from>
    <xdr:to>
      <xdr:col>6</xdr:col>
      <xdr:colOff>327660</xdr:colOff>
      <xdr:row>46</xdr:row>
      <xdr:rowOff>125730</xdr:rowOff>
    </xdr:to>
    <xdr:graphicFrame macro="">
      <xdr:nvGraphicFramePr>
        <xdr:cNvPr id="6" name="Chart 5">
          <a:extLst>
            <a:ext uri="{FF2B5EF4-FFF2-40B4-BE49-F238E27FC236}">
              <a16:creationId xmlns:a16="http://schemas.microsoft.com/office/drawing/2014/main" id="{DD3D39E4-B4C0-D60C-E26F-36162F4B8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91439</xdr:colOff>
      <xdr:row>15</xdr:row>
      <xdr:rowOff>50800</xdr:rowOff>
    </xdr:from>
    <xdr:to>
      <xdr:col>10</xdr:col>
      <xdr:colOff>525161</xdr:colOff>
      <xdr:row>30</xdr:row>
      <xdr:rowOff>66676</xdr:rowOff>
    </xdr:to>
    <mc:AlternateContent xmlns:mc="http://schemas.openxmlformats.org/markup-compatibility/2006" xmlns:a14="http://schemas.microsoft.com/office/drawing/2010/main">
      <mc:Choice Requires="a14">
        <xdr:graphicFrame macro="">
          <xdr:nvGraphicFramePr>
            <xdr:cNvPr id="7" name="Month 1">
              <a:extLst>
                <a:ext uri="{FF2B5EF4-FFF2-40B4-BE49-F238E27FC236}">
                  <a16:creationId xmlns:a16="http://schemas.microsoft.com/office/drawing/2014/main" id="{034DE6D6-E518-40DC-B1EE-7AE6CCC0F15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281277" y="2831070"/>
              <a:ext cx="3471425" cy="2796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205946</xdr:colOff>
      <xdr:row>15</xdr:row>
      <xdr:rowOff>50663</xdr:rowOff>
    </xdr:from>
    <xdr:to>
      <xdr:col>17</xdr:col>
      <xdr:colOff>63225</xdr:colOff>
      <xdr:row>30</xdr:row>
      <xdr:rowOff>63999</xdr:rowOff>
    </xdr:to>
    <mc:AlternateContent xmlns:mc="http://schemas.openxmlformats.org/markup-compatibility/2006" xmlns:a14="http://schemas.microsoft.com/office/drawing/2010/main">
      <mc:Choice Requires="a14">
        <xdr:graphicFrame macro="">
          <xdr:nvGraphicFramePr>
            <xdr:cNvPr id="10" name="Country 1">
              <a:extLst>
                <a:ext uri="{FF2B5EF4-FFF2-40B4-BE49-F238E27FC236}">
                  <a16:creationId xmlns:a16="http://schemas.microsoft.com/office/drawing/2014/main" id="{8FBF9504-A6C3-44A4-99EA-DF3EA915E0C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041027" y="2830933"/>
              <a:ext cx="2905279" cy="2793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7</xdr:row>
      <xdr:rowOff>0</xdr:rowOff>
    </xdr:from>
    <xdr:to>
      <xdr:col>4</xdr:col>
      <xdr:colOff>640080</xdr:colOff>
      <xdr:row>14</xdr:row>
      <xdr:rowOff>91440</xdr:rowOff>
    </xdr:to>
    <mc:AlternateContent xmlns:mc="http://schemas.openxmlformats.org/markup-compatibility/2006" xmlns:tsle="http://schemas.microsoft.com/office/drawing/2012/timeslicer">
      <mc:Choice Requires="tsle">
        <xdr:graphicFrame macro="">
          <xdr:nvGraphicFramePr>
            <xdr:cNvPr id="11" name="InvoiceDate 2">
              <a:extLst>
                <a:ext uri="{FF2B5EF4-FFF2-40B4-BE49-F238E27FC236}">
                  <a16:creationId xmlns:a16="http://schemas.microsoft.com/office/drawing/2014/main" id="{56E1C696-2FA2-4745-A6C2-3FE379B761D6}"/>
                </a:ext>
              </a:extLst>
            </xdr:cNvPr>
            <xdr:cNvGraphicFramePr/>
          </xdr:nvGraphicFramePr>
          <xdr:xfrm>
            <a:off x="0" y="0"/>
            <a:ext cx="0" cy="0"/>
          </xdr:xfrm>
          <a:graphic>
            <a:graphicData uri="http://schemas.microsoft.com/office/drawing/2012/timeslicer">
              <tsle:timeslicer name="InvoiceDate 2"/>
            </a:graphicData>
          </a:graphic>
        </xdr:graphicFrame>
      </mc:Choice>
      <mc:Fallback xmlns="">
        <xdr:sp macro="" textlink="">
          <xdr:nvSpPr>
            <xdr:cNvPr id="0" name=""/>
            <xdr:cNvSpPr>
              <a:spLocks noTextEdit="1"/>
            </xdr:cNvSpPr>
          </xdr:nvSpPr>
          <xdr:spPr>
            <a:xfrm>
              <a:off x="926757" y="1297459"/>
              <a:ext cx="3327674" cy="1388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771072</xdr:colOff>
      <xdr:row>47</xdr:row>
      <xdr:rowOff>127000</xdr:rowOff>
    </xdr:from>
    <xdr:to>
      <xdr:col>16</xdr:col>
      <xdr:colOff>544286</xdr:colOff>
      <xdr:row>60</xdr:row>
      <xdr:rowOff>63500</xdr:rowOff>
    </xdr:to>
    <xdr:sp macro="" textlink="">
      <xdr:nvSpPr>
        <xdr:cNvPr id="2" name="Rectangle: Rounded Corners 1">
          <a:extLst>
            <a:ext uri="{FF2B5EF4-FFF2-40B4-BE49-F238E27FC236}">
              <a16:creationId xmlns:a16="http://schemas.microsoft.com/office/drawing/2014/main" id="{2F9229C8-1708-CEBD-4AB7-61C0F5867B4D}"/>
            </a:ext>
          </a:extLst>
        </xdr:cNvPr>
        <xdr:cNvSpPr/>
      </xdr:nvSpPr>
      <xdr:spPr>
        <a:xfrm>
          <a:off x="771072" y="8654143"/>
          <a:ext cx="10849428" cy="22950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lang="en-IN" sz="1800" b="0" i="0">
              <a:solidFill>
                <a:schemeClr val="lt1"/>
              </a:solidFill>
              <a:effectLst/>
              <a:latin typeface="+mn-lt"/>
              <a:ea typeface="+mn-ea"/>
              <a:cs typeface="+mn-cs"/>
            </a:rPr>
            <a:t>Key  Insights</a:t>
          </a:r>
          <a:r>
            <a:rPr lang="en-IN" sz="1800">
              <a:solidFill>
                <a:schemeClr val="lt1"/>
              </a:solidFill>
              <a:effectLst/>
              <a:latin typeface="+mn-lt"/>
              <a:ea typeface="+mn-ea"/>
              <a:cs typeface="+mn-cs"/>
            </a:rPr>
            <a:t> </a:t>
          </a:r>
        </a:p>
        <a:p>
          <a:pPr lvl="0" rtl="0"/>
          <a:r>
            <a:rPr lang="en-IN" sz="1800">
              <a:effectLst/>
            </a:rPr>
            <a:t>1. Net revenue for 2024: </a:t>
          </a:r>
          <a:r>
            <a:rPr lang="en-IN" sz="1800" b="1">
              <a:effectLst/>
            </a:rPr>
            <a:t>$23,060.67</a:t>
          </a:r>
          <a:r>
            <a:rPr lang="en-IN" sz="1800">
              <a:effectLst/>
            </a:rPr>
            <a:t> across 501 orders, 393 customers, 20 products.</a:t>
          </a:r>
        </a:p>
        <a:p>
          <a:pPr lvl="0" rtl="0"/>
          <a:r>
            <a:rPr lang="en-IN" sz="1800" b="1">
              <a:effectLst/>
            </a:rPr>
            <a:t>2. Regency Cakestand 3 Tier</a:t>
          </a:r>
          <a:r>
            <a:rPr lang="en-IN" sz="1800">
              <a:effectLst/>
            </a:rPr>
            <a:t> is the top real product ($4,922), while </a:t>
          </a:r>
          <a:r>
            <a:rPr lang="en-IN" sz="1800" b="1">
              <a:effectLst/>
            </a:rPr>
            <a:t>Party Bunting</a:t>
          </a:r>
          <a:r>
            <a:rPr lang="en-IN" sz="1800">
              <a:effectLst/>
            </a:rPr>
            <a:t> leads in units sold (380).</a:t>
          </a:r>
        </a:p>
        <a:p>
          <a:pPr lvl="0" rtl="0"/>
          <a:r>
            <a:rPr lang="en-IN" sz="1800" b="1">
              <a:effectLst/>
            </a:rPr>
            <a:t>3.Netherlands</a:t>
          </a:r>
          <a:r>
            <a:rPr lang="en-IN" sz="1800">
              <a:effectLst/>
            </a:rPr>
            <a:t> and </a:t>
          </a:r>
          <a:r>
            <a:rPr lang="en-IN" sz="1800" b="1">
              <a:effectLst/>
            </a:rPr>
            <a:t>Portugal</a:t>
          </a:r>
          <a:r>
            <a:rPr lang="en-IN" sz="1800">
              <a:effectLst/>
            </a:rPr>
            <a:t> are the top markets — UK ranks surprisingly low ($1,696).</a:t>
          </a:r>
        </a:p>
        <a:p>
          <a:pPr lvl="0" rtl="0"/>
          <a:r>
            <a:rPr lang="en-IN" sz="1800" b="1">
              <a:effectLst/>
            </a:rPr>
            <a:t>4.August</a:t>
          </a:r>
          <a:r>
            <a:rPr lang="en-IN" sz="1800">
              <a:effectLst/>
            </a:rPr>
            <a:t> was the peak month ($3,635), nearly double April's low ($1,051); no clear holiday-season spike in Nov/Dec.</a:t>
          </a:r>
        </a:p>
        <a:p>
          <a:pPr lvl="0" rtl="0"/>
          <a:r>
            <a:rPr lang="en-IN" sz="1800">
              <a:effectLst/>
            </a:rPr>
            <a:t>5.Returns are minor: 7.8% of order lines, only a </a:t>
          </a:r>
          <a:r>
            <a:rPr lang="en-IN" sz="1800" b="1">
              <a:effectLst/>
            </a:rPr>
            <a:t>1.8%</a:t>
          </a:r>
          <a:r>
            <a:rPr lang="en-IN" sz="1800">
              <a:effectLst/>
            </a:rPr>
            <a:t> hit to gross revenue.</a:t>
          </a:r>
        </a:p>
        <a:p>
          <a:pPr eaLnBrk="1" fontAlgn="auto" latinLnBrk="0" hangingPunct="1"/>
          <a:endParaRPr lang="en-IN" sz="1800">
            <a:effectLst/>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sus\Downloads\YourName_ExcelDashboard.xlsx" TargetMode="External"/><Relationship Id="rId1" Type="http://schemas.openxmlformats.org/officeDocument/2006/relationships/externalLinkPath" Target="file:///C:\Users\Asus\Downloads\YourName_Excel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Raw_Data"/>
      <sheetName val="Clean_Data"/>
      <sheetName val="Pivot_Summary"/>
      <sheetName val="Advanced_Formulas"/>
      <sheetName val="Dashboard"/>
      <sheetName val="Documentation"/>
    </sheetNames>
    <sheetDataSet>
      <sheetData sheetId="0"/>
      <sheetData sheetId="1"/>
      <sheetData sheetId="2"/>
      <sheetData sheetId="3">
        <row r="5">
          <cell r="A5" t="str">
            <v>United Kingdom</v>
          </cell>
          <cell r="D5">
            <v>1695.54</v>
          </cell>
        </row>
        <row r="6">
          <cell r="A6" t="str">
            <v>Germany</v>
          </cell>
          <cell r="D6">
            <v>2467.3800000000006</v>
          </cell>
        </row>
        <row r="7">
          <cell r="A7" t="str">
            <v>France</v>
          </cell>
          <cell r="D7">
            <v>2071.5600000000004</v>
          </cell>
        </row>
        <row r="8">
          <cell r="A8" t="str">
            <v>EIRE</v>
          </cell>
          <cell r="D8">
            <v>1997.9500000000003</v>
          </cell>
        </row>
        <row r="9">
          <cell r="A9" t="str">
            <v>Spain</v>
          </cell>
          <cell r="D9">
            <v>1398.13</v>
          </cell>
        </row>
        <row r="10">
          <cell r="A10" t="str">
            <v>Netherlands</v>
          </cell>
          <cell r="D10">
            <v>3449.53</v>
          </cell>
        </row>
        <row r="11">
          <cell r="A11" t="str">
            <v>Belgium</v>
          </cell>
          <cell r="D11">
            <v>2390.5099999999998</v>
          </cell>
        </row>
        <row r="12">
          <cell r="A12" t="str">
            <v>Switzerland</v>
          </cell>
          <cell r="D12">
            <v>2594.1000000000004</v>
          </cell>
        </row>
        <row r="13">
          <cell r="A13" t="str">
            <v>Portugal</v>
          </cell>
          <cell r="D13">
            <v>3175.02</v>
          </cell>
        </row>
        <row r="14">
          <cell r="A14" t="str">
            <v>Australia</v>
          </cell>
          <cell r="D14">
            <v>2256.4799999999996</v>
          </cell>
        </row>
      </sheetData>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nal" refreshedDate="46283.520213194446" createdVersion="8" refreshedVersion="8" minRefreshableVersion="3" recordCount="500" xr:uid="{D1CA3503-6415-4D27-9C9C-79F0FAE77AEB}">
  <cacheSource type="worksheet">
    <worksheetSource name="Table5"/>
  </cacheSource>
  <cacheFields count="13">
    <cacheField name="InvoiceNo" numFmtId="0">
      <sharedItems containsMixedTypes="1" containsNumber="1" containsInteger="1" minValue="50001" maxValue="50500"/>
    </cacheField>
    <cacheField name="StockCode" numFmtId="0">
      <sharedItems containsMixedTypes="1" containsNumber="1" containsInteger="1" minValue="20725" maxValue="84991"/>
    </cacheField>
    <cacheField name="Description" numFmtId="0">
      <sharedItems/>
    </cacheField>
    <cacheField name="Quantity" numFmtId="0">
      <sharedItems containsSemiMixedTypes="0" containsString="0" containsNumber="1" containsInteger="1" minValue="-8" maxValue="24"/>
    </cacheField>
    <cacheField name="InvoiceDate" numFmtId="164">
      <sharedItems containsSemiMixedTypes="0" containsNonDate="0" containsDate="1" containsString="0" minDate="2024-01-02T08:23:00" maxDate="2024-12-29T10:42:00" count="498">
        <d v="2024-01-13T12:41:00"/>
        <d v="2024-10-29T15:12:00"/>
        <d v="2024-04-11T17:18:00"/>
        <d v="2024-12-23T15:12:00"/>
        <d v="2024-02-17T14:29:00"/>
        <d v="2024-10-01T10:07:00"/>
        <d v="2024-10-22T11:16:00"/>
        <d v="2024-04-29T09:43:00"/>
        <d v="2024-06-30T11:34:00"/>
        <d v="2024-11-21T10:55:00"/>
        <d v="2024-04-22T13:32:00"/>
        <d v="2024-02-03T11:36:00"/>
        <d v="2024-11-25T15:49:00"/>
        <d v="2024-10-26T15:18:00"/>
        <d v="2024-02-16T08:48:00"/>
        <d v="2024-02-02T14:34:00"/>
        <d v="2024-12-14T09:57:00"/>
        <d v="2024-05-30T15:25:00"/>
        <d v="2024-04-01T16:39:00"/>
        <d v="2024-04-11T10:36:00"/>
        <d v="2024-11-02T13:31:00"/>
        <d v="2024-01-30T12:06:00"/>
        <d v="2024-03-05T10:11:00"/>
        <d v="2024-08-04T11:36:00"/>
        <d v="2024-12-09T14:22:00"/>
        <d v="2024-06-22T08:21:00"/>
        <d v="2024-04-27T09:09:00"/>
        <d v="2024-04-19T17:12:00"/>
        <d v="2024-08-30T14:56:00"/>
        <d v="2024-08-27T08:55:00"/>
        <d v="2024-02-25T12:14:00"/>
        <d v="2024-08-24T12:15:00"/>
        <d v="2024-11-29T17:13:00"/>
        <d v="2024-07-27T16:17:00"/>
        <d v="2024-01-02T14:39:00"/>
        <d v="2024-12-04T16:18:00"/>
        <d v="2024-02-01T13:21:00"/>
        <d v="2024-01-30T16:40:00"/>
        <d v="2024-03-02T17:43:00"/>
        <d v="2024-10-16T16:55:00"/>
        <d v="2024-05-15T14:45:00"/>
        <d v="2024-08-22T17:36:00"/>
        <d v="2024-02-05T12:10:00"/>
        <d v="2024-11-30T17:01:00"/>
        <d v="2024-05-15T09:58:00"/>
        <d v="2024-06-24T11:28:00"/>
        <d v="2024-02-17T15:13:00"/>
        <d v="2024-08-14T17:24:00"/>
        <d v="2024-01-19T14:18:00"/>
        <d v="2024-01-21T14:06:00"/>
        <d v="2024-11-13T10:38:00"/>
        <d v="2024-01-13T11:03:00"/>
        <d v="2024-03-22T09:50:00"/>
        <d v="2024-06-28T13:12:00"/>
        <d v="2024-02-05T12:45:00"/>
        <d v="2024-01-15T09:58:00"/>
        <d v="2024-11-01T15:24:00"/>
        <d v="2024-07-16T17:50:00"/>
        <d v="2024-12-17T11:21:00"/>
        <d v="2024-06-09T10:07:00"/>
        <d v="2024-07-25T13:02:00"/>
        <d v="2024-11-11T17:42:00"/>
        <d v="2024-08-08T17:53:00"/>
        <d v="2024-08-30T10:53:00"/>
        <d v="2024-02-17T12:00:00"/>
        <d v="2024-05-05T16:06:00"/>
        <d v="2024-12-22T14:33:00"/>
        <d v="2024-08-05T11:44:00"/>
        <d v="2024-05-07T10:04:00"/>
        <d v="2024-06-11T15:33:00"/>
        <d v="2024-03-22T16:06:00"/>
        <d v="2024-09-05T12:04:00"/>
        <d v="2024-06-12T17:13:00"/>
        <d v="2024-02-02T15:04:00"/>
        <d v="2024-07-18T17:58:00"/>
        <d v="2024-07-18T15:09:00"/>
        <d v="2024-04-22T12:39:00"/>
        <d v="2024-08-27T10:10:00"/>
        <d v="2024-02-12T15:18:00"/>
        <d v="2024-04-18T15:45:00"/>
        <d v="2024-02-11T16:01:00"/>
        <d v="2024-11-28T09:10:00"/>
        <d v="2024-03-19T12:04:00"/>
        <d v="2024-12-24T12:22:00"/>
        <d v="2024-06-08T09:50:00"/>
        <d v="2024-04-11T09:17:00"/>
        <d v="2024-03-02T17:39:00"/>
        <d v="2024-11-27T13:49:00"/>
        <d v="2024-11-21T15:50:00"/>
        <d v="2024-10-02T16:15:00"/>
        <d v="2024-02-14T12:45:00"/>
        <d v="2024-01-15T16:26:00"/>
        <d v="2024-05-23T12:42:00"/>
        <d v="2024-10-11T12:06:00"/>
        <d v="2024-05-30T11:46:00"/>
        <d v="2024-10-10T17:03:00"/>
        <d v="2024-05-18T13:13:00"/>
        <d v="2024-12-19T11:09:00"/>
        <d v="2024-11-01T12:49:00"/>
        <d v="2024-01-08T17:06:00"/>
        <d v="2024-11-22T16:22:00"/>
        <d v="2024-06-23T11:08:00"/>
        <d v="2024-09-08T09:15:00"/>
        <d v="2024-02-13T12:14:00"/>
        <d v="2024-09-24T14:29:00"/>
        <d v="2024-10-18T09:01:00"/>
        <d v="2024-05-15T09:23:00"/>
        <d v="2024-08-18T16:01:00"/>
        <d v="2024-12-17T11:59:00"/>
        <d v="2024-02-28T17:17:00"/>
        <d v="2024-01-31T10:49:00"/>
        <d v="2024-03-04T15:59:00"/>
        <d v="2024-09-09T15:28:00"/>
        <d v="2024-05-08T08:26:00"/>
        <d v="2024-01-11T12:35:00"/>
        <d v="2024-04-02T17:59:00"/>
        <d v="2024-07-28T13:41:00"/>
        <d v="2024-05-27T14:50:00"/>
        <d v="2024-09-20T08:01:00"/>
        <d v="2024-07-04T16:30:00"/>
        <d v="2024-05-27T15:28:00"/>
        <d v="2024-12-29T10:42:00"/>
        <d v="2024-08-24T10:00:00"/>
        <d v="2024-12-27T12:39:00"/>
        <d v="2024-03-15T14:32:00"/>
        <d v="2024-05-21T15:04:00"/>
        <d v="2024-06-01T17:53:00"/>
        <d v="2024-06-19T17:25:00"/>
        <d v="2024-10-19T14:32:00"/>
        <d v="2024-07-16T10:35:00"/>
        <d v="2024-02-21T15:30:00"/>
        <d v="2024-12-01T10:38:00"/>
        <d v="2024-11-28T09:22:00"/>
        <d v="2024-10-04T08:36:00"/>
        <d v="2024-02-16T15:24:00"/>
        <d v="2024-12-21T13:06:00"/>
        <d v="2024-05-05T17:03:00"/>
        <d v="2024-11-08T14:31:00"/>
        <d v="2024-08-24T12:20:00"/>
        <d v="2024-12-12T17:19:00"/>
        <d v="2024-12-19T12:16:00"/>
        <d v="2024-05-01T14:30:00"/>
        <d v="2024-12-03T14:45:00"/>
        <d v="2024-04-27T14:00:00"/>
        <d v="2024-11-17T08:40:00"/>
        <d v="2024-05-31T13:34:00"/>
        <d v="2024-09-28T16:33:00"/>
        <d v="2024-06-22T09:57:00"/>
        <d v="2024-10-12T14:14:00"/>
        <d v="2024-07-07T12:28:00"/>
        <d v="2024-08-29T08:25:00"/>
        <d v="2024-11-27T09:04:00"/>
        <d v="2024-03-12T08:46:00"/>
        <d v="2024-03-10T14:37:00"/>
        <d v="2024-10-27T10:38:00"/>
        <d v="2024-01-17T14:19:00"/>
        <d v="2024-12-17T14:16:00"/>
        <d v="2024-04-07T10:05:00"/>
        <d v="2024-01-26T13:41:00"/>
        <d v="2024-04-16T18:00:00"/>
        <d v="2024-01-02T12:43:00"/>
        <d v="2024-12-04T08:26:00"/>
        <d v="2024-01-27T10:09:00"/>
        <d v="2024-07-04T16:45:00"/>
        <d v="2024-12-03T16:53:00"/>
        <d v="2024-08-06T09:50:00"/>
        <d v="2024-11-07T10:31:00"/>
        <d v="2024-07-14T17:03:00"/>
        <d v="2024-04-20T15:20:00"/>
        <d v="2024-07-31T09:37:00"/>
        <d v="2024-02-04T09:33:00"/>
        <d v="2024-10-11T09:01:00"/>
        <d v="2024-06-30T15:13:00"/>
        <d v="2024-09-16T11:37:00"/>
        <d v="2024-07-07T09:57:00"/>
        <d v="2024-11-10T17:30:00"/>
        <d v="2024-04-02T12:39:00"/>
        <d v="2024-03-14T17:39:00"/>
        <d v="2024-09-28T11:40:00"/>
        <d v="2024-10-17T09:26:00"/>
        <d v="2024-08-14T15:14:00"/>
        <d v="2024-06-25T15:20:00"/>
        <d v="2024-01-24T11:45:00"/>
        <d v="2024-03-11T12:21:00"/>
        <d v="2024-03-07T14:29:00"/>
        <d v="2024-07-22T08:43:00"/>
        <d v="2024-07-26T15:07:00"/>
        <d v="2024-08-23T14:10:00"/>
        <d v="2024-09-25T09:20:00"/>
        <d v="2024-02-09T16:42:00"/>
        <d v="2024-11-26T10:31:00"/>
        <d v="2024-12-01T09:17:00"/>
        <d v="2024-08-17T17:38:00"/>
        <d v="2024-08-13T09:09:00"/>
        <d v="2024-06-29T16:39:00"/>
        <d v="2024-02-09T09:32:00"/>
        <d v="2024-08-18T17:45:00"/>
        <d v="2024-08-18T09:45:00"/>
        <d v="2024-05-06T15:28:00"/>
        <d v="2024-07-17T14:58:00"/>
        <d v="2024-06-17T09:36:00"/>
        <d v="2024-06-19T09:23:00"/>
        <d v="2024-10-31T09:26:00"/>
        <d v="2024-09-05T11:16:00"/>
        <d v="2024-10-03T16:59:00"/>
        <d v="2024-07-11T10:37:00"/>
        <d v="2024-01-23T15:00:00"/>
        <d v="2024-08-17T11:59:00"/>
        <d v="2024-07-07T17:44:00"/>
        <d v="2024-08-02T10:45:00"/>
        <d v="2024-07-09T17:27:00"/>
        <d v="2024-03-23T12:39:00"/>
        <d v="2024-08-18T13:57:00"/>
        <d v="2024-02-11T14:23:00"/>
        <d v="2024-03-11T08:39:00"/>
        <d v="2024-08-17T08:05:00"/>
        <d v="2024-08-04T09:53:00"/>
        <d v="2024-08-22T09:04:00"/>
        <d v="2024-10-21T12:07:00"/>
        <d v="2024-10-19T15:06:00"/>
        <d v="2024-09-26T17:17:00"/>
        <d v="2024-01-23T14:36:00"/>
        <d v="2024-05-03T09:46:00"/>
        <d v="2024-06-22T10:59:00"/>
        <d v="2024-02-02T15:48:00"/>
        <d v="2024-06-07T16:47:00"/>
        <d v="2024-05-26T14:05:00"/>
        <d v="2024-07-23T15:30:00"/>
        <d v="2024-09-22T12:33:00"/>
        <d v="2024-05-30T13:28:00"/>
        <d v="2024-08-06T10:50:00"/>
        <d v="2024-08-10T12:41:00"/>
        <d v="2024-09-19T10:43:00"/>
        <d v="2024-03-05T09:08:00"/>
        <d v="2024-11-05T10:37:00"/>
        <d v="2024-03-11T17:02:00"/>
        <d v="2024-04-05T16:31:00"/>
        <d v="2024-04-19T12:52:00"/>
        <d v="2024-08-19T10:56:00"/>
        <d v="2024-12-29T09:06:00"/>
        <d v="2024-07-04T16:40:00"/>
        <d v="2024-01-14T14:09:00"/>
        <d v="2024-02-14T09:07:00"/>
        <d v="2024-07-28T17:48:00"/>
        <d v="2024-12-14T16:49:00"/>
        <d v="2024-03-07T15:23:00"/>
        <d v="2024-06-04T10:48:00"/>
        <d v="2024-02-10T12:16:00"/>
        <d v="2024-09-30T09:35:00"/>
        <d v="2024-12-03T13:45:00"/>
        <d v="2024-11-29T11:35:00"/>
        <d v="2024-11-24T13:09:00"/>
        <d v="2024-02-07T09:01:00"/>
        <d v="2024-03-14T13:20:00"/>
        <d v="2024-07-08T16:47:00"/>
        <d v="2024-05-06T10:24:00"/>
        <d v="2024-06-16T17:51:00"/>
        <d v="2024-09-12T13:15:00"/>
        <d v="2024-10-25T14:01:00"/>
        <d v="2024-10-01T08:08:00"/>
        <d v="2024-07-06T08:46:00"/>
        <d v="2024-09-15T15:41:00"/>
        <d v="2024-03-06T09:39:00"/>
        <d v="2024-04-11T16:41:00"/>
        <d v="2024-09-22T15:47:00"/>
        <d v="2024-03-24T14:42:00"/>
        <d v="2024-09-29T16:21:00"/>
        <d v="2024-12-10T09:52:00"/>
        <d v="2024-08-30T12:31:00"/>
        <d v="2024-10-25T16:11:00"/>
        <d v="2024-12-14T12:08:00"/>
        <d v="2024-06-09T15:08:00"/>
        <d v="2024-02-01T10:21:00"/>
        <d v="2024-07-11T13:21:00"/>
        <d v="2024-11-08T16:15:00"/>
        <d v="2024-05-27T11:32:00"/>
        <d v="2024-05-27T10:04:00"/>
        <d v="2024-05-28T08:43:00"/>
        <d v="2024-09-02T11:39:00"/>
        <d v="2024-02-25T18:00:00"/>
        <d v="2024-01-27T09:42:00"/>
        <d v="2024-10-08T10:41:00"/>
        <d v="2024-05-27T13:28:00"/>
        <d v="2024-09-30T08:38:00"/>
        <d v="2024-09-10T11:10:00"/>
        <d v="2024-06-01T17:41:00"/>
        <d v="2024-09-25T16:25:00"/>
        <d v="2024-03-24T15:49:00"/>
        <d v="2024-10-17T11:17:00"/>
        <d v="2024-06-16T09:28:00"/>
        <d v="2024-05-07T08:06:00"/>
        <d v="2024-10-25T17:46:00"/>
        <d v="2024-08-26T13:14:00"/>
        <d v="2024-11-23T13:02:00"/>
        <d v="2024-08-20T14:22:00"/>
        <d v="2024-05-06T09:23:00"/>
        <d v="2024-02-01T17:20:00"/>
        <d v="2024-08-14T09:59:00"/>
        <d v="2024-01-29T15:44:00"/>
        <d v="2024-12-10T13:15:00"/>
        <d v="2024-02-07T08:46:00"/>
        <d v="2024-01-17T12:53:00"/>
        <d v="2024-07-14T15:39:00"/>
        <d v="2024-11-30T13:56:00"/>
        <d v="2024-01-02T08:23:00"/>
        <d v="2024-04-27T12:13:00"/>
        <d v="2024-12-04T15:09:00"/>
        <d v="2024-02-04T09:43:00"/>
        <d v="2024-04-29T17:12:00"/>
        <d v="2024-04-29T17:49:00"/>
        <d v="2024-06-03T10:26:00"/>
        <d v="2024-10-29T10:59:00"/>
        <d v="2024-09-25T13:26:00"/>
        <d v="2024-08-30T12:06:00"/>
        <d v="2024-10-14T15:02:00"/>
        <d v="2024-06-18T09:20:00"/>
        <d v="2024-05-17T14:26:00"/>
        <d v="2024-12-09T17:32:00"/>
        <d v="2024-04-18T11:14:00"/>
        <d v="2024-12-26T11:29:00"/>
        <d v="2024-08-26T17:06:00"/>
        <d v="2024-02-20T16:00:00"/>
        <d v="2024-04-23T10:29:00"/>
        <d v="2024-03-19T11:20:00"/>
        <d v="2024-12-01T13:45:00"/>
        <d v="2024-03-27T14:00:00"/>
        <d v="2024-09-25T08:34:00"/>
        <d v="2024-03-11T11:56:00"/>
        <d v="2024-01-31T16:14:00"/>
        <d v="2024-01-09T17:02:00"/>
        <d v="2024-04-01T09:49:00"/>
        <d v="2024-06-30T12:33:00"/>
        <d v="2024-12-22T11:51:00"/>
        <d v="2024-07-26T14:28:00"/>
        <d v="2024-09-12T15:24:00"/>
        <d v="2024-01-22T11:55:00"/>
        <d v="2024-01-24T09:16:00"/>
        <d v="2024-06-10T08:16:00"/>
        <d v="2024-06-02T10:46:00"/>
        <d v="2024-07-15T10:23:00"/>
        <d v="2024-02-20T15:27:00"/>
        <d v="2024-07-22T13:34:00"/>
        <d v="2024-07-01T17:26:00"/>
        <d v="2024-11-12T13:02:00"/>
        <d v="2024-07-18T13:24:00"/>
        <d v="2024-05-18T09:44:00"/>
        <d v="2024-07-27T09:45:00"/>
        <d v="2024-07-16T08:12:00"/>
        <d v="2024-10-19T16:53:00"/>
        <d v="2024-09-09T10:29:00"/>
        <d v="2024-07-03T12:17:00"/>
        <d v="2024-02-24T10:18:00"/>
        <d v="2024-08-13T13:42:00"/>
        <d v="2024-06-02T13:28:00"/>
        <d v="2024-06-12T12:58:00"/>
        <d v="2024-07-11T12:47:00"/>
        <d v="2024-04-02T17:23:00"/>
        <d v="2024-05-29T09:10:00"/>
        <d v="2024-12-03T10:37:00"/>
        <d v="2024-10-25T14:50:00"/>
        <d v="2024-01-19T14:08:00"/>
        <d v="2024-05-07T14:03:00"/>
        <d v="2024-08-08T09:48:00"/>
        <d v="2024-10-24T17:49:00"/>
        <d v="2024-03-18T13:53:00"/>
        <d v="2024-03-13T13:56:00"/>
        <d v="2024-08-31T09:39:00"/>
        <d v="2024-12-29T09:57:00"/>
        <d v="2024-09-21T10:58:00"/>
        <d v="2024-07-26T11:08:00"/>
        <d v="2024-08-18T15:19:00"/>
        <d v="2024-02-22T17:09:00"/>
        <d v="2024-09-27T13:20:00"/>
        <d v="2024-08-22T10:56:00"/>
        <d v="2024-12-10T10:17:00"/>
        <d v="2024-09-18T14:37:00"/>
        <d v="2024-11-21T17:10:00"/>
        <d v="2024-09-07T12:55:00"/>
        <d v="2024-01-05T16:16:00"/>
        <d v="2024-07-28T16:23:00"/>
        <d v="2024-01-16T11:45:00"/>
        <d v="2024-09-10T17:22:00"/>
        <d v="2024-10-04T08:42:00"/>
        <d v="2024-06-01T08:33:00"/>
        <d v="2024-05-01T11:34:00"/>
        <d v="2024-03-25T10:22:00"/>
        <d v="2024-05-23T17:11:00"/>
        <d v="2024-09-20T09:37:00"/>
        <d v="2024-12-01T10:09:00"/>
        <d v="2024-12-12T14:42:00"/>
        <d v="2024-08-19T09:17:00"/>
        <d v="2024-12-21T14:17:00"/>
        <d v="2024-11-21T14:06:00"/>
        <d v="2024-09-10T12:34:00"/>
        <d v="2024-09-05T13:51:00"/>
        <d v="2024-03-04T10:41:00"/>
        <d v="2024-11-28T13:09:00"/>
        <d v="2024-02-12T14:20:00"/>
        <d v="2024-08-07T09:33:00"/>
        <d v="2024-04-25T16:51:00"/>
        <d v="2024-12-21T10:15:00"/>
        <d v="2024-06-09T14:16:00"/>
        <d v="2024-02-05T17:03:00"/>
        <d v="2024-07-29T15:33:00"/>
        <d v="2024-07-15T13:59:00"/>
        <d v="2024-10-10T12:51:00"/>
        <d v="2024-07-19T13:02:00"/>
        <d v="2024-11-22T09:12:00"/>
        <d v="2024-07-17T17:42:00"/>
        <d v="2024-01-09T09:09:00"/>
        <d v="2024-05-26T16:33:00"/>
        <d v="2024-11-11T10:36:00"/>
        <d v="2024-10-01T13:34:00"/>
        <d v="2024-12-23T15:27:00"/>
        <d v="2024-02-29T15:44:00"/>
        <d v="2024-01-07T10:20:00"/>
        <d v="2024-03-26T14:20:00"/>
        <d v="2024-06-20T15:19:00"/>
        <d v="2024-09-11T15:46:00"/>
        <d v="2024-03-21T12:21:00"/>
        <d v="2024-01-02T08:45:00"/>
        <d v="2024-01-19T17:26:00"/>
        <d v="2024-06-12T12:37:00"/>
        <d v="2024-04-24T16:48:00"/>
        <d v="2024-11-14T12:08:00"/>
        <d v="2024-05-05T10:34:00"/>
        <d v="2024-06-20T08:01:00"/>
        <d v="2024-09-28T12:03:00"/>
        <d v="2024-01-23T11:57:00"/>
        <d v="2024-02-18T16:37:00"/>
        <d v="2024-08-10T10:13:00"/>
        <d v="2024-06-11T15:43:00"/>
        <d v="2024-03-20T09:48:00"/>
        <d v="2024-04-16T15:42:00"/>
        <d v="2024-12-26T08:41:00"/>
        <d v="2024-07-21T16:45:00"/>
        <d v="2024-08-19T17:29:00"/>
        <d v="2024-01-07T09:03:00"/>
        <d v="2024-10-27T12:25:00"/>
        <d v="2024-02-17T13:39:00"/>
        <d v="2024-07-21T16:28:00"/>
        <d v="2024-05-20T12:46:00"/>
        <d v="2024-11-27T13:02:00"/>
        <d v="2024-07-15T10:20:00"/>
        <d v="2024-01-10T14:31:00"/>
        <d v="2024-09-14T13:29:00"/>
        <d v="2024-05-23T08:59:00"/>
        <d v="2024-05-06T12:06:00"/>
        <d v="2024-10-21T14:37:00"/>
        <d v="2024-10-30T13:25:00"/>
        <d v="2024-10-15T10:25:00"/>
        <d v="2024-06-07T10:59:00"/>
        <d v="2024-09-01T08:00:00"/>
        <d v="2024-06-14T09:00:00"/>
        <d v="2024-07-05T09:14:00"/>
        <d v="2024-06-03T13:30:00"/>
        <d v="2024-03-30T17:35:00"/>
        <d v="2024-03-30T14:27:00"/>
        <d v="2024-07-19T17:41:00"/>
        <d v="2024-11-23T17:39:00"/>
        <d v="2024-06-26T13:27:00"/>
        <d v="2024-01-06T12:31:00"/>
        <d v="2024-01-25T14:35:00"/>
        <d v="2024-07-12T13:59:00"/>
        <d v="2024-03-24T15:42:00"/>
        <d v="2024-02-23T09:15:00"/>
        <d v="2024-02-17T13:46:00"/>
        <d v="2024-11-30T10:48:00"/>
        <d v="2024-04-07T14:59:00"/>
        <d v="2024-06-01T12:03:00"/>
        <d v="2024-02-14T13:01:00"/>
        <d v="2024-03-28T12:58:00"/>
        <d v="2024-09-07T12:31:00"/>
        <d v="2024-04-05T15:36:00"/>
        <d v="2024-02-01T10:34:00"/>
        <d v="2024-10-28T11:52:00"/>
        <d v="2024-12-17T16:06:00"/>
        <d v="2024-09-14T17:44:00"/>
        <d v="2024-08-17T10:57:00"/>
        <d v="2024-02-10T15:25:00"/>
        <d v="2024-06-12T09:08:00"/>
        <d v="2024-08-22T08:12:00"/>
        <d v="2024-03-17T10:31:00"/>
        <d v="2024-10-15T09:43:00"/>
        <d v="2024-07-15T16:17:00"/>
        <d v="2024-11-12T14:51:00"/>
        <d v="2024-08-31T12:35:00"/>
        <d v="2024-04-26T10:17:00"/>
        <d v="2024-08-01T09:31:00"/>
        <d v="2024-07-10T08:57:00"/>
        <d v="2024-03-10T16:56:00"/>
        <d v="2024-01-17T15:47:00"/>
        <d v="2024-09-15T14:46:00"/>
        <d v="2024-10-31T15:36:00"/>
        <d v="2024-03-24T12:24:00"/>
        <d v="2024-03-24T17:45:00"/>
        <d v="2024-11-29T14:59:00"/>
        <d v="2024-01-05T11:49:00"/>
      </sharedItems>
    </cacheField>
    <cacheField name="UnitPrice" numFmtId="165">
      <sharedItems containsSemiMixedTypes="0" containsString="0" containsNumber="1" minValue="0.47" maxValue="21.48"/>
    </cacheField>
    <cacheField name="CustomerID" numFmtId="0">
      <sharedItems containsSemiMixedTypes="0" containsString="0" containsNumber="1" containsInteger="1" minValue="0" maxValue="12998"/>
    </cacheField>
    <cacheField name="Country" numFmtId="0">
      <sharedItems count="10">
        <s v="Portugal"/>
        <s v="United Kingdom"/>
        <s v="Netherlands"/>
        <s v="Australia"/>
        <s v="Spain"/>
        <s v="France"/>
        <s v="Germany"/>
        <s v="Belgium"/>
        <s v="Switzerland"/>
        <s v="EIRE"/>
      </sharedItems>
    </cacheField>
    <cacheField name="Revenue" numFmtId="165">
      <sharedItems containsSemiMixedTypes="0" containsString="0" containsNumber="1" minValue="-58.75" maxValue="427.57"/>
    </cacheField>
    <cacheField name="Month" numFmtId="0">
      <sharedItems count="12">
        <s v="Jan"/>
        <s v="Oct"/>
        <s v="Apr"/>
        <s v="Dec"/>
        <s v="Feb"/>
        <s v="Jun"/>
        <s v="Nov"/>
        <s v="May"/>
        <s v="Mar"/>
        <s v="Aug"/>
        <s v="Jul"/>
        <s v="Sep"/>
      </sharedItems>
    </cacheField>
    <cacheField name="Year" numFmtId="0">
      <sharedItems containsSemiMixedTypes="0" containsString="0" containsNumber="1" containsInteger="1" minValue="2024" maxValue="2024"/>
    </cacheField>
    <cacheField name="OrderStatus" numFmtId="0">
      <sharedItems count="2">
        <s v="Completed"/>
        <s v="Cancelled"/>
      </sharedItems>
    </cacheField>
    <cacheField name="CustomerSegment" numFmtId="0">
      <sharedItems/>
    </cacheField>
  </cacheFields>
  <extLst>
    <ext xmlns:x14="http://schemas.microsoft.com/office/spreadsheetml/2009/9/main" uri="{725AE2AE-9491-48be-B2B4-4EB974FC3084}">
      <x14:pivotCacheDefinition pivotCacheId="14018815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50001"/>
    <s v="84029G"/>
    <s v="KNITTED UNION FLAG HOT WATER BOTTLE"/>
    <n v="8"/>
    <x v="0"/>
    <n v="3.76"/>
    <n v="12692"/>
    <x v="0"/>
    <n v="30.08"/>
    <x v="0"/>
    <n v="2024"/>
    <x v="0"/>
    <s v="Returning"/>
  </r>
  <r>
    <s v="C50002"/>
    <s v="84406B"/>
    <s v="CREAM CUPID HEARTS COAT HANGER"/>
    <n v="-1"/>
    <x v="1"/>
    <n v="2.56"/>
    <n v="12616"/>
    <x v="1"/>
    <n v="-2.56"/>
    <x v="1"/>
    <n v="2024"/>
    <x v="1"/>
    <s v="Returning"/>
  </r>
  <r>
    <n v="50003"/>
    <s v="82494L"/>
    <s v="WOODEN FRAME ANTIQUE WHITE"/>
    <n v="14"/>
    <x v="2"/>
    <n v="3.12"/>
    <n v="12828"/>
    <x v="1"/>
    <n v="43.68"/>
    <x v="2"/>
    <n v="2024"/>
    <x v="0"/>
    <s v="Wholesale"/>
  </r>
  <r>
    <n v="50004"/>
    <n v="22720"/>
    <s v="SET OF 3 CAKE TINS PANTRY DESIGN"/>
    <n v="11"/>
    <x v="3"/>
    <n v="4.58"/>
    <n v="12781"/>
    <x v="2"/>
    <n v="50.38"/>
    <x v="3"/>
    <n v="2024"/>
    <x v="0"/>
    <s v="New"/>
  </r>
  <r>
    <n v="50005"/>
    <s v="84029G"/>
    <s v="KNITTED UNION FLAG HOT WATER BOTTLE"/>
    <n v="4"/>
    <x v="4"/>
    <n v="3.29"/>
    <n v="12270"/>
    <x v="1"/>
    <n v="13.16"/>
    <x v="4"/>
    <n v="2024"/>
    <x v="0"/>
    <s v="Wholesale"/>
  </r>
  <r>
    <n v="50006"/>
    <n v="20725"/>
    <s v="LUNCH BAG RED RETROSPOT"/>
    <n v="13"/>
    <x v="5"/>
    <n v="1.57"/>
    <n v="12643"/>
    <x v="3"/>
    <n v="20.41"/>
    <x v="1"/>
    <n v="2024"/>
    <x v="0"/>
    <s v="New"/>
  </r>
  <r>
    <n v="50007"/>
    <n v="21212"/>
    <s v="PACK OF 72 RETROSPOT CAKE CASES"/>
    <n v="23"/>
    <x v="6"/>
    <n v="0.59"/>
    <n v="12791"/>
    <x v="4"/>
    <n v="13.569999999999999"/>
    <x v="1"/>
    <n v="2024"/>
    <x v="0"/>
    <s v="New"/>
  </r>
  <r>
    <n v="50008"/>
    <s v="84406B"/>
    <s v="CREAM CUPID HEARTS COAT HANGER"/>
    <n v="13"/>
    <x v="7"/>
    <n v="2.95"/>
    <n v="12373"/>
    <x v="5"/>
    <n v="38.35"/>
    <x v="2"/>
    <n v="2024"/>
    <x v="0"/>
    <s v="New"/>
  </r>
  <r>
    <n v="50009"/>
    <n v="21212"/>
    <s v="PACK OF 72 RETROSPOT CAKE CASES"/>
    <n v="22"/>
    <x v="8"/>
    <n v="0.65"/>
    <n v="12663"/>
    <x v="6"/>
    <n v="14.3"/>
    <x v="5"/>
    <n v="2024"/>
    <x v="0"/>
    <s v="Wholesale"/>
  </r>
  <r>
    <n v="50010"/>
    <n v="84991"/>
    <s v="60 TEATIME FAIRY CAKE CASES"/>
    <n v="18"/>
    <x v="9"/>
    <n v="0.5"/>
    <n v="12388"/>
    <x v="4"/>
    <n v="9"/>
    <x v="6"/>
    <n v="2024"/>
    <x v="0"/>
    <s v="Returning"/>
  </r>
  <r>
    <n v="50011"/>
    <s v="82494L"/>
    <s v="WOODEN FRAME ANTIQUE WHITE"/>
    <n v="2"/>
    <x v="10"/>
    <n v="2.54"/>
    <n v="12323"/>
    <x v="7"/>
    <n v="5.08"/>
    <x v="2"/>
    <n v="2024"/>
    <x v="0"/>
    <s v="New"/>
  </r>
  <r>
    <n v="50012"/>
    <n v="47566"/>
    <s v="PARTY BUNTING"/>
    <n v="19"/>
    <x v="11"/>
    <n v="4.75"/>
    <n v="12671"/>
    <x v="8"/>
    <n v="90.25"/>
    <x v="4"/>
    <n v="2024"/>
    <x v="0"/>
    <s v="New"/>
  </r>
  <r>
    <n v="50013"/>
    <n v="22386"/>
    <s v="JUMBO BAG PINK POLKADOT"/>
    <n v="5"/>
    <x v="12"/>
    <n v="1.83"/>
    <n v="12574"/>
    <x v="0"/>
    <n v="9.15"/>
    <x v="6"/>
    <n v="2024"/>
    <x v="0"/>
    <s v="Returning"/>
  </r>
  <r>
    <n v="50014"/>
    <n v="47566"/>
    <s v="PARTY BUNTING"/>
    <n v="19"/>
    <x v="13"/>
    <n v="4.59"/>
    <n v="12141"/>
    <x v="0"/>
    <n v="87.21"/>
    <x v="1"/>
    <n v="2024"/>
    <x v="0"/>
    <s v="Wholesale"/>
  </r>
  <r>
    <n v="50015"/>
    <n v="23203"/>
    <s v="JUMBO BAG DOILEY PATTERNS"/>
    <n v="4"/>
    <x v="14"/>
    <n v="1.88"/>
    <n v="12696"/>
    <x v="7"/>
    <n v="7.52"/>
    <x v="4"/>
    <n v="2024"/>
    <x v="0"/>
    <s v="Wholesale"/>
  </r>
  <r>
    <n v="50016"/>
    <n v="84991"/>
    <s v="60 TEATIME FAIRY CAKE CASES"/>
    <n v="13"/>
    <x v="15"/>
    <n v="0.56000000000000005"/>
    <n v="12257"/>
    <x v="0"/>
    <n v="7.2800000000000011"/>
    <x v="4"/>
    <n v="2024"/>
    <x v="0"/>
    <s v="New"/>
  </r>
  <r>
    <n v="50017"/>
    <s v="85123A"/>
    <s v="WHITE HANGING HEART T-LIGHT HOLDER"/>
    <n v="22"/>
    <x v="16"/>
    <n v="2.84"/>
    <n v="12787"/>
    <x v="2"/>
    <n v="62.48"/>
    <x v="3"/>
    <n v="2024"/>
    <x v="0"/>
    <s v="New"/>
  </r>
  <r>
    <n v="50018"/>
    <s v="84029G"/>
    <s v="KNITTED UNION FLAG HOT WATER BOTTLE"/>
    <n v="6"/>
    <x v="17"/>
    <n v="4.01"/>
    <n v="0"/>
    <x v="4"/>
    <n v="24.06"/>
    <x v="7"/>
    <n v="2024"/>
    <x v="0"/>
    <s v="Unknown"/>
  </r>
  <r>
    <n v="50019"/>
    <s v="POST"/>
    <s v="POSTAGE"/>
    <n v="4"/>
    <x v="18"/>
    <n v="17.18"/>
    <n v="12654"/>
    <x v="0"/>
    <n v="68.72"/>
    <x v="2"/>
    <n v="2024"/>
    <x v="0"/>
    <s v="Wholesale"/>
  </r>
  <r>
    <n v="50020"/>
    <n v="84991"/>
    <s v="60 TEATIME FAIRY CAKE CASES"/>
    <n v="12"/>
    <x v="19"/>
    <n v="0.56999999999999995"/>
    <n v="12797"/>
    <x v="0"/>
    <n v="6.84"/>
    <x v="2"/>
    <n v="2024"/>
    <x v="0"/>
    <s v="New"/>
  </r>
  <r>
    <s v="C50021"/>
    <s v="85123A"/>
    <s v="WHITE HANGING HEART T-LIGHT HOLDER"/>
    <n v="-6"/>
    <x v="20"/>
    <n v="2.95"/>
    <n v="12851"/>
    <x v="4"/>
    <n v="-17.700000000000003"/>
    <x v="6"/>
    <n v="2024"/>
    <x v="1"/>
    <s v="New"/>
  </r>
  <r>
    <n v="50022"/>
    <n v="22423"/>
    <s v="REGENCY CAKESTAND 3 TIER"/>
    <n v="19"/>
    <x v="21"/>
    <n v="11.22"/>
    <n v="12497"/>
    <x v="6"/>
    <n v="213.18"/>
    <x v="0"/>
    <n v="2024"/>
    <x v="0"/>
    <s v="New"/>
  </r>
  <r>
    <n v="50023"/>
    <s v="82494L"/>
    <s v="WOODEN FRAME ANTIQUE WHITE"/>
    <n v="22"/>
    <x v="22"/>
    <n v="3.08"/>
    <n v="12271"/>
    <x v="0"/>
    <n v="67.760000000000005"/>
    <x v="8"/>
    <n v="2024"/>
    <x v="0"/>
    <s v="New"/>
  </r>
  <r>
    <n v="50024"/>
    <n v="84991"/>
    <s v="60 TEATIME FAIRY CAKE CASES"/>
    <n v="18"/>
    <x v="23"/>
    <n v="0.6"/>
    <n v="12730"/>
    <x v="4"/>
    <n v="10.799999999999999"/>
    <x v="9"/>
    <n v="2024"/>
    <x v="0"/>
    <s v="Returning"/>
  </r>
  <r>
    <n v="50025"/>
    <n v="22386"/>
    <s v="JUMBO BAG PINK POLKADOT"/>
    <n v="15"/>
    <x v="24"/>
    <n v="1.97"/>
    <n v="12253"/>
    <x v="9"/>
    <n v="29.55"/>
    <x v="3"/>
    <n v="2024"/>
    <x v="0"/>
    <s v="New"/>
  </r>
  <r>
    <n v="50026"/>
    <s v="84406B"/>
    <s v="CREAM CUPID HEARTS COAT HANGER"/>
    <n v="19"/>
    <x v="25"/>
    <n v="2.9"/>
    <n v="12007"/>
    <x v="6"/>
    <n v="55.1"/>
    <x v="5"/>
    <n v="2024"/>
    <x v="0"/>
    <s v="New"/>
  </r>
  <r>
    <n v="50027"/>
    <n v="71053"/>
    <s v="WHITE METAL LANTERN"/>
    <n v="2"/>
    <x v="26"/>
    <n v="2.97"/>
    <n v="12243"/>
    <x v="4"/>
    <n v="5.94"/>
    <x v="2"/>
    <n v="2024"/>
    <x v="0"/>
    <s v="Wholesale"/>
  </r>
  <r>
    <n v="50028"/>
    <n v="23203"/>
    <s v="JUMBO BAG DOILEY PATTERNS"/>
    <n v="5"/>
    <x v="27"/>
    <n v="2.41"/>
    <n v="12590"/>
    <x v="8"/>
    <n v="12.05"/>
    <x v="2"/>
    <n v="2024"/>
    <x v="0"/>
    <s v="Returning"/>
  </r>
  <r>
    <n v="50029"/>
    <n v="22423"/>
    <s v="REGENCY CAKESTAND 3 TIER"/>
    <n v="7"/>
    <x v="28"/>
    <n v="13.78"/>
    <n v="12362"/>
    <x v="7"/>
    <n v="96.46"/>
    <x v="9"/>
    <n v="2024"/>
    <x v="0"/>
    <s v="Returning"/>
  </r>
  <r>
    <n v="50030"/>
    <s v="85099B"/>
    <s v="JUMBO BAG RED RETROSPOT"/>
    <n v="22"/>
    <x v="29"/>
    <n v="2.2400000000000002"/>
    <n v="12062"/>
    <x v="7"/>
    <n v="49.28"/>
    <x v="9"/>
    <n v="2024"/>
    <x v="0"/>
    <s v="Returning"/>
  </r>
  <r>
    <n v="50031"/>
    <n v="22086"/>
    <s v="PAPER CHAIN KIT 50'S CHRISTMAS"/>
    <n v="7"/>
    <x v="30"/>
    <n v="2.97"/>
    <n v="12432"/>
    <x v="5"/>
    <n v="20.790000000000003"/>
    <x v="4"/>
    <n v="2024"/>
    <x v="0"/>
    <s v="Wholesale"/>
  </r>
  <r>
    <n v="50032"/>
    <n v="47566"/>
    <s v="PARTY BUNTING"/>
    <n v="3"/>
    <x v="31"/>
    <n v="5.7"/>
    <n v="12563"/>
    <x v="6"/>
    <n v="17.100000000000001"/>
    <x v="9"/>
    <n v="2024"/>
    <x v="0"/>
    <s v="New"/>
  </r>
  <r>
    <n v="50033"/>
    <n v="71053"/>
    <s v="WHITE METAL LANTERN"/>
    <n v="1"/>
    <x v="32"/>
    <n v="3.98"/>
    <n v="12869"/>
    <x v="9"/>
    <n v="3.98"/>
    <x v="6"/>
    <n v="2024"/>
    <x v="0"/>
    <s v="New"/>
  </r>
  <r>
    <n v="50034"/>
    <n v="22720"/>
    <s v="SET OF 3 CAKE TINS PANTRY DESIGN"/>
    <n v="16"/>
    <x v="33"/>
    <n v="4.9000000000000004"/>
    <n v="12060"/>
    <x v="5"/>
    <n v="78.400000000000006"/>
    <x v="10"/>
    <n v="2024"/>
    <x v="0"/>
    <s v="Wholesale"/>
  </r>
  <r>
    <n v="50035"/>
    <n v="22386"/>
    <s v="JUMBO BAG PINK POLKADOT"/>
    <n v="9"/>
    <x v="34"/>
    <n v="2.19"/>
    <n v="12292"/>
    <x v="7"/>
    <n v="19.71"/>
    <x v="0"/>
    <n v="2024"/>
    <x v="0"/>
    <s v="Returning"/>
  </r>
  <r>
    <n v="50036"/>
    <s v="82494L"/>
    <s v="WOODEN FRAME ANTIQUE WHITE"/>
    <n v="5"/>
    <x v="35"/>
    <n v="2.73"/>
    <n v="12059"/>
    <x v="3"/>
    <n v="13.65"/>
    <x v="3"/>
    <n v="2024"/>
    <x v="0"/>
    <s v="New"/>
  </r>
  <r>
    <s v="C50037"/>
    <s v="82494L"/>
    <s v="WOODEN FRAME ANTIQUE WHITE"/>
    <n v="-2"/>
    <x v="36"/>
    <n v="3.03"/>
    <n v="12873"/>
    <x v="0"/>
    <n v="-6.06"/>
    <x v="4"/>
    <n v="2024"/>
    <x v="1"/>
    <s v="Wholesale"/>
  </r>
  <r>
    <n v="50038"/>
    <n v="22720"/>
    <s v="SET OF 3 CAKE TINS PANTRY DESIGN"/>
    <n v="3"/>
    <x v="37"/>
    <n v="4.33"/>
    <n v="12069"/>
    <x v="9"/>
    <n v="12.99"/>
    <x v="0"/>
    <n v="2024"/>
    <x v="0"/>
    <s v="Wholesale"/>
  </r>
  <r>
    <n v="50039"/>
    <n v="22386"/>
    <s v="JUMBO BAG PINK POLKADOT"/>
    <n v="8"/>
    <x v="38"/>
    <n v="1.68"/>
    <n v="12083"/>
    <x v="7"/>
    <n v="13.44"/>
    <x v="8"/>
    <n v="2024"/>
    <x v="0"/>
    <s v="New"/>
  </r>
  <r>
    <n v="50040"/>
    <s v="84970S"/>
    <s v="HANGING HEART ZINC T-LIGHT HOLDER"/>
    <n v="11"/>
    <x v="39"/>
    <n v="1.1499999999999999"/>
    <n v="12733"/>
    <x v="2"/>
    <n v="12.649999999999999"/>
    <x v="1"/>
    <n v="2024"/>
    <x v="0"/>
    <s v="New"/>
  </r>
  <r>
    <n v="50041"/>
    <n v="22423"/>
    <s v="REGENCY CAKESTAND 3 TIER"/>
    <n v="5"/>
    <x v="40"/>
    <n v="12.18"/>
    <n v="12323"/>
    <x v="6"/>
    <n v="60.9"/>
    <x v="7"/>
    <n v="2024"/>
    <x v="0"/>
    <s v="New"/>
  </r>
  <r>
    <n v="50042"/>
    <s v="85123A"/>
    <s v="WHITE HANGING HEART T-LIGHT HOLDER"/>
    <n v="4"/>
    <x v="41"/>
    <n v="2.36"/>
    <n v="12271"/>
    <x v="5"/>
    <n v="9.44"/>
    <x v="9"/>
    <n v="2024"/>
    <x v="0"/>
    <s v="New"/>
  </r>
  <r>
    <n v="50043"/>
    <n v="21212"/>
    <s v="PACK OF 72 RETROSPOT CAKE CASES"/>
    <n v="12"/>
    <x v="42"/>
    <n v="0.55000000000000004"/>
    <n v="12556"/>
    <x v="4"/>
    <n v="6.6000000000000005"/>
    <x v="4"/>
    <n v="2024"/>
    <x v="0"/>
    <s v="Returning"/>
  </r>
  <r>
    <n v="50044"/>
    <n v="84991"/>
    <s v="60 TEATIME FAIRY CAKE CASES"/>
    <n v="1"/>
    <x v="43"/>
    <n v="0.56999999999999995"/>
    <n v="12954"/>
    <x v="6"/>
    <n v="0.56999999999999995"/>
    <x v="6"/>
    <n v="2024"/>
    <x v="0"/>
    <s v="Wholesale"/>
  </r>
  <r>
    <n v="50045"/>
    <n v="84879"/>
    <s v="ASSORTED COLOUR BIRD ORNAMENT"/>
    <n v="4"/>
    <x v="44"/>
    <n v="1.53"/>
    <n v="12288"/>
    <x v="3"/>
    <n v="6.12"/>
    <x v="7"/>
    <n v="2024"/>
    <x v="0"/>
    <s v="Wholesale"/>
  </r>
  <r>
    <n v="50046"/>
    <n v="22727"/>
    <s v="ALARM CLOCK BAKELIKE RED"/>
    <n v="22"/>
    <x v="45"/>
    <n v="3.53"/>
    <n v="12500"/>
    <x v="4"/>
    <n v="77.66"/>
    <x v="5"/>
    <n v="2024"/>
    <x v="0"/>
    <s v="Returning"/>
  </r>
  <r>
    <s v="C50047"/>
    <n v="71053"/>
    <s v="WHITE METAL LANTERN"/>
    <n v="-6"/>
    <x v="46"/>
    <n v="3.8"/>
    <n v="12652"/>
    <x v="4"/>
    <n v="-22.799999999999997"/>
    <x v="4"/>
    <n v="2024"/>
    <x v="1"/>
    <s v="Returning"/>
  </r>
  <r>
    <n v="50048"/>
    <n v="22720"/>
    <s v="SET OF 3 CAKE TINS PANTRY DESIGN"/>
    <n v="23"/>
    <x v="47"/>
    <n v="4.22"/>
    <n v="12077"/>
    <x v="5"/>
    <n v="97.059999999999988"/>
    <x v="9"/>
    <n v="2024"/>
    <x v="0"/>
    <s v="New"/>
  </r>
  <r>
    <n v="50049"/>
    <s v="82494L"/>
    <s v="WOODEN FRAME ANTIQUE WHITE"/>
    <n v="19"/>
    <x v="48"/>
    <n v="2.95"/>
    <n v="12042"/>
    <x v="4"/>
    <n v="56.050000000000004"/>
    <x v="0"/>
    <n v="2024"/>
    <x v="0"/>
    <s v="Wholesale"/>
  </r>
  <r>
    <n v="50050"/>
    <n v="21212"/>
    <s v="PACK OF 72 RETROSPOT CAKE CASES"/>
    <n v="7"/>
    <x v="49"/>
    <n v="0.6"/>
    <n v="12362"/>
    <x v="0"/>
    <n v="4.2"/>
    <x v="0"/>
    <n v="2024"/>
    <x v="0"/>
    <s v="Returning"/>
  </r>
  <r>
    <n v="50051"/>
    <s v="85099B"/>
    <s v="JUMBO BAG RED RETROSPOT"/>
    <n v="8"/>
    <x v="50"/>
    <n v="2.48"/>
    <n v="12830"/>
    <x v="5"/>
    <n v="19.84"/>
    <x v="6"/>
    <n v="2024"/>
    <x v="0"/>
    <s v="Returning"/>
  </r>
  <r>
    <n v="50052"/>
    <s v="85099B"/>
    <s v="JUMBO BAG RED RETROSPOT"/>
    <n v="24"/>
    <x v="51"/>
    <n v="2.34"/>
    <n v="12421"/>
    <x v="9"/>
    <n v="56.16"/>
    <x v="0"/>
    <n v="2024"/>
    <x v="0"/>
    <s v="New"/>
  </r>
  <r>
    <n v="50053"/>
    <n v="47566"/>
    <s v="PARTY BUNTING"/>
    <n v="13"/>
    <x v="52"/>
    <n v="5.7"/>
    <n v="12227"/>
    <x v="9"/>
    <n v="74.100000000000009"/>
    <x v="8"/>
    <n v="2024"/>
    <x v="0"/>
    <s v="New"/>
  </r>
  <r>
    <n v="50054"/>
    <n v="20725"/>
    <s v="LUNCH BAG RED RETROSPOT"/>
    <n v="8"/>
    <x v="53"/>
    <n v="1.78"/>
    <n v="12408"/>
    <x v="2"/>
    <n v="14.24"/>
    <x v="5"/>
    <n v="2024"/>
    <x v="0"/>
    <s v="Wholesale"/>
  </r>
  <r>
    <n v="50055"/>
    <n v="47566"/>
    <s v="PARTY BUNTING"/>
    <n v="12"/>
    <x v="54"/>
    <n v="4.9000000000000004"/>
    <n v="12863"/>
    <x v="0"/>
    <n v="58.800000000000004"/>
    <x v="4"/>
    <n v="2024"/>
    <x v="0"/>
    <s v="New"/>
  </r>
  <r>
    <n v="50056"/>
    <n v="22086"/>
    <s v="PAPER CHAIN KIT 50'S CHRISTMAS"/>
    <n v="9"/>
    <x v="55"/>
    <n v="3.5"/>
    <n v="12271"/>
    <x v="1"/>
    <n v="31.5"/>
    <x v="0"/>
    <n v="2024"/>
    <x v="0"/>
    <s v="New"/>
  </r>
  <r>
    <n v="50057"/>
    <s v="84029G"/>
    <s v="KNITTED UNION FLAG HOT WATER BOTTLE"/>
    <n v="12"/>
    <x v="56"/>
    <n v="3.25"/>
    <n v="12620"/>
    <x v="0"/>
    <n v="39"/>
    <x v="6"/>
    <n v="2024"/>
    <x v="0"/>
    <s v="Returning"/>
  </r>
  <r>
    <n v="50058"/>
    <s v="84029G"/>
    <s v="KNITTED UNION FLAG HOT WATER BOTTLE"/>
    <n v="7"/>
    <x v="57"/>
    <n v="3.72"/>
    <n v="12001"/>
    <x v="0"/>
    <n v="26.040000000000003"/>
    <x v="10"/>
    <n v="2024"/>
    <x v="0"/>
    <s v="New"/>
  </r>
  <r>
    <n v="50059"/>
    <s v="82494L"/>
    <s v="WOODEN FRAME ANTIQUE WHITE"/>
    <n v="12"/>
    <x v="58"/>
    <n v="3.49"/>
    <n v="12942"/>
    <x v="2"/>
    <n v="41.88"/>
    <x v="3"/>
    <n v="2024"/>
    <x v="0"/>
    <s v="Wholesale"/>
  </r>
  <r>
    <n v="50060"/>
    <n v="84991"/>
    <s v="60 TEATIME FAIRY CAKE CASES"/>
    <n v="24"/>
    <x v="59"/>
    <n v="0.56999999999999995"/>
    <n v="12682"/>
    <x v="7"/>
    <n v="13.68"/>
    <x v="5"/>
    <n v="2024"/>
    <x v="0"/>
    <s v="Returning"/>
  </r>
  <r>
    <n v="50061"/>
    <n v="22086"/>
    <s v="PAPER CHAIN KIT 50'S CHRISTMAS"/>
    <n v="18"/>
    <x v="60"/>
    <n v="2.94"/>
    <n v="12962"/>
    <x v="7"/>
    <n v="52.92"/>
    <x v="10"/>
    <n v="2024"/>
    <x v="0"/>
    <s v="Returning"/>
  </r>
  <r>
    <n v="50062"/>
    <n v="22720"/>
    <s v="SET OF 3 CAKE TINS PANTRY DESIGN"/>
    <n v="10"/>
    <x v="61"/>
    <n v="5.65"/>
    <n v="12311"/>
    <x v="4"/>
    <n v="56.5"/>
    <x v="6"/>
    <n v="2024"/>
    <x v="0"/>
    <s v="New"/>
  </r>
  <r>
    <n v="50063"/>
    <n v="22727"/>
    <s v="ALARM CLOCK BAKELIKE RED"/>
    <n v="20"/>
    <x v="62"/>
    <n v="3.8"/>
    <n v="12452"/>
    <x v="9"/>
    <n v="76"/>
    <x v="9"/>
    <n v="2024"/>
    <x v="0"/>
    <s v="Returning"/>
  </r>
  <r>
    <n v="50064"/>
    <s v="POST"/>
    <s v="POSTAGE"/>
    <n v="22"/>
    <x v="63"/>
    <n v="18.55"/>
    <n v="12648"/>
    <x v="3"/>
    <n v="408.1"/>
    <x v="9"/>
    <n v="2024"/>
    <x v="0"/>
    <s v="Wholesale"/>
  </r>
  <r>
    <n v="50065"/>
    <n v="22086"/>
    <s v="PAPER CHAIN KIT 50'S CHRISTMAS"/>
    <n v="22"/>
    <x v="64"/>
    <n v="3.34"/>
    <n v="12150"/>
    <x v="1"/>
    <n v="73.47999999999999"/>
    <x v="4"/>
    <n v="2024"/>
    <x v="0"/>
    <s v="Wholesale"/>
  </r>
  <r>
    <n v="50066"/>
    <n v="71053"/>
    <s v="WHITE METAL LANTERN"/>
    <n v="20"/>
    <x v="65"/>
    <n v="2.97"/>
    <n v="12424"/>
    <x v="3"/>
    <n v="59.400000000000006"/>
    <x v="7"/>
    <n v="2024"/>
    <x v="0"/>
    <s v="Returning"/>
  </r>
  <r>
    <n v="50067"/>
    <n v="22727"/>
    <s v="ALARM CLOCK BAKELIKE RED"/>
    <n v="16"/>
    <x v="66"/>
    <n v="3.38"/>
    <n v="12704"/>
    <x v="1"/>
    <n v="54.08"/>
    <x v="3"/>
    <n v="2024"/>
    <x v="0"/>
    <s v="Returning"/>
  </r>
  <r>
    <n v="50068"/>
    <s v="84029G"/>
    <s v="KNITTED UNION FLAG HOT WATER BOTTLE"/>
    <n v="6"/>
    <x v="67"/>
    <n v="3.71"/>
    <n v="12475"/>
    <x v="1"/>
    <n v="22.259999999999998"/>
    <x v="9"/>
    <n v="2024"/>
    <x v="0"/>
    <s v="New"/>
  </r>
  <r>
    <n v="50069"/>
    <s v="82494L"/>
    <s v="WOODEN FRAME ANTIQUE WHITE"/>
    <n v="15"/>
    <x v="68"/>
    <n v="2.99"/>
    <n v="12543"/>
    <x v="0"/>
    <n v="44.85"/>
    <x v="7"/>
    <n v="2024"/>
    <x v="0"/>
    <s v="Wholesale"/>
  </r>
  <r>
    <n v="50070"/>
    <n v="84991"/>
    <s v="60 TEATIME FAIRY CAKE CASES"/>
    <n v="20"/>
    <x v="69"/>
    <n v="0.64"/>
    <n v="12436"/>
    <x v="0"/>
    <n v="12.8"/>
    <x v="5"/>
    <n v="2024"/>
    <x v="0"/>
    <s v="Returning"/>
  </r>
  <r>
    <n v="50071"/>
    <n v="20725"/>
    <s v="LUNCH BAG RED RETROSPOT"/>
    <n v="15"/>
    <x v="70"/>
    <n v="1.55"/>
    <n v="12652"/>
    <x v="4"/>
    <n v="23.25"/>
    <x v="8"/>
    <n v="2024"/>
    <x v="0"/>
    <s v="Returning"/>
  </r>
  <r>
    <n v="50072"/>
    <s v="POST"/>
    <s v="POSTAGE"/>
    <n v="1"/>
    <x v="71"/>
    <n v="19.8"/>
    <n v="12240"/>
    <x v="4"/>
    <n v="19.8"/>
    <x v="11"/>
    <n v="2024"/>
    <x v="0"/>
    <s v="Wholesale"/>
  </r>
  <r>
    <n v="50073"/>
    <n v="22086"/>
    <s v="PAPER CHAIN KIT 50'S CHRISTMAS"/>
    <n v="3"/>
    <x v="72"/>
    <n v="2.75"/>
    <n v="12710"/>
    <x v="5"/>
    <n v="8.25"/>
    <x v="5"/>
    <n v="2024"/>
    <x v="0"/>
    <s v="Returning"/>
  </r>
  <r>
    <n v="50074"/>
    <n v="22727"/>
    <s v="ALARM CLOCK BAKELIKE RED"/>
    <n v="14"/>
    <x v="73"/>
    <n v="3.8"/>
    <n v="12063"/>
    <x v="9"/>
    <n v="53.199999999999996"/>
    <x v="4"/>
    <n v="2024"/>
    <x v="0"/>
    <s v="Wholesale"/>
  </r>
  <r>
    <s v="C50075"/>
    <s v="85099B"/>
    <s v="JUMBO BAG RED RETROSPOT"/>
    <n v="-7"/>
    <x v="74"/>
    <n v="2.12"/>
    <n v="12965"/>
    <x v="2"/>
    <n v="-14.84"/>
    <x v="10"/>
    <n v="2024"/>
    <x v="1"/>
    <s v="New"/>
  </r>
  <r>
    <n v="50076"/>
    <n v="22960"/>
    <s v="JAM MAKING SET WITH JARS"/>
    <n v="18"/>
    <x v="75"/>
    <n v="4.42"/>
    <n v="12617"/>
    <x v="9"/>
    <n v="79.56"/>
    <x v="10"/>
    <n v="2024"/>
    <x v="0"/>
    <s v="New"/>
  </r>
  <r>
    <n v="50077"/>
    <n v="23203"/>
    <s v="JUMBO BAG DOILEY PATTERNS"/>
    <n v="14"/>
    <x v="76"/>
    <n v="2.0499999999999998"/>
    <n v="12684"/>
    <x v="7"/>
    <n v="28.699999999999996"/>
    <x v="2"/>
    <n v="2024"/>
    <x v="0"/>
    <s v="Wholesale"/>
  </r>
  <r>
    <n v="50078"/>
    <n v="22720"/>
    <s v="SET OF 3 CAKE TINS PANTRY DESIGN"/>
    <n v="20"/>
    <x v="77"/>
    <n v="5.78"/>
    <n v="12606"/>
    <x v="3"/>
    <n v="115.60000000000001"/>
    <x v="9"/>
    <n v="2024"/>
    <x v="0"/>
    <s v="Wholesale"/>
  </r>
  <r>
    <n v="50079"/>
    <s v="85123A"/>
    <s v="WHITE HANGING HEART T-LIGHT HOLDER"/>
    <n v="5"/>
    <x v="78"/>
    <n v="2.33"/>
    <n v="12266"/>
    <x v="7"/>
    <n v="11.65"/>
    <x v="4"/>
    <n v="2024"/>
    <x v="0"/>
    <s v="Returning"/>
  </r>
  <r>
    <n v="50080"/>
    <n v="22086"/>
    <s v="PAPER CHAIN KIT 50'S CHRISTMAS"/>
    <n v="11"/>
    <x v="79"/>
    <n v="3.42"/>
    <n v="12284"/>
    <x v="7"/>
    <n v="37.619999999999997"/>
    <x v="2"/>
    <n v="2024"/>
    <x v="0"/>
    <s v="Returning"/>
  </r>
  <r>
    <n v="50081"/>
    <n v="47566"/>
    <s v="PARTY BUNTING"/>
    <n v="1"/>
    <x v="80"/>
    <n v="4.3"/>
    <n v="12974"/>
    <x v="2"/>
    <n v="4.3"/>
    <x v="4"/>
    <n v="2024"/>
    <x v="0"/>
    <s v="Returning"/>
  </r>
  <r>
    <s v="C50082"/>
    <n v="22423"/>
    <s v="REGENCY CAKESTAND 3 TIER"/>
    <n v="-1"/>
    <x v="81"/>
    <n v="15.08"/>
    <n v="12204"/>
    <x v="1"/>
    <n v="-15.08"/>
    <x v="6"/>
    <n v="2024"/>
    <x v="1"/>
    <s v="Wholesale"/>
  </r>
  <r>
    <n v="50083"/>
    <n v="84991"/>
    <s v="60 TEATIME FAIRY CAKE CASES"/>
    <n v="5"/>
    <x v="82"/>
    <n v="0.49"/>
    <n v="12970"/>
    <x v="9"/>
    <n v="2.4500000000000002"/>
    <x v="8"/>
    <n v="2024"/>
    <x v="0"/>
    <s v="Returning"/>
  </r>
  <r>
    <n v="50084"/>
    <n v="20725"/>
    <s v="LUNCH BAG RED RETROSPOT"/>
    <n v="12"/>
    <x v="83"/>
    <n v="1.75"/>
    <n v="12765"/>
    <x v="6"/>
    <n v="21"/>
    <x v="3"/>
    <n v="2024"/>
    <x v="0"/>
    <s v="Wholesale"/>
  </r>
  <r>
    <s v="C50085"/>
    <n v="22720"/>
    <s v="SET OF 3 CAKE TINS PANTRY DESIGN"/>
    <n v="-5"/>
    <x v="84"/>
    <n v="5.21"/>
    <n v="12929"/>
    <x v="7"/>
    <n v="-26.05"/>
    <x v="5"/>
    <n v="2024"/>
    <x v="1"/>
    <s v="New"/>
  </r>
  <r>
    <n v="50086"/>
    <n v="22386"/>
    <s v="JUMBO BAG PINK POLKADOT"/>
    <n v="19"/>
    <x v="85"/>
    <n v="2.09"/>
    <n v="12104"/>
    <x v="4"/>
    <n v="39.709999999999994"/>
    <x v="2"/>
    <n v="2024"/>
    <x v="0"/>
    <s v="Returning"/>
  </r>
  <r>
    <n v="50087"/>
    <n v="84991"/>
    <s v="60 TEATIME FAIRY CAKE CASES"/>
    <n v="2"/>
    <x v="86"/>
    <n v="0.55000000000000004"/>
    <n v="12379"/>
    <x v="6"/>
    <n v="1.1000000000000001"/>
    <x v="8"/>
    <n v="2024"/>
    <x v="0"/>
    <s v="New"/>
  </r>
  <r>
    <n v="50088"/>
    <s v="POST"/>
    <s v="POSTAGE"/>
    <n v="1"/>
    <x v="87"/>
    <n v="20.48"/>
    <n v="12108"/>
    <x v="7"/>
    <n v="20.48"/>
    <x v="6"/>
    <n v="2024"/>
    <x v="0"/>
    <s v="Wholesale"/>
  </r>
  <r>
    <n v="50089"/>
    <n v="21212"/>
    <s v="PACK OF 72 RETROSPOT CAKE CASES"/>
    <n v="23"/>
    <x v="88"/>
    <n v="0.5"/>
    <n v="12534"/>
    <x v="4"/>
    <n v="11.5"/>
    <x v="6"/>
    <n v="2024"/>
    <x v="0"/>
    <s v="Wholesale"/>
  </r>
  <r>
    <n v="50090"/>
    <n v="84991"/>
    <s v="60 TEATIME FAIRY CAKE CASES"/>
    <n v="15"/>
    <x v="89"/>
    <n v="0.61"/>
    <n v="12274"/>
    <x v="2"/>
    <n v="9.15"/>
    <x v="1"/>
    <n v="2024"/>
    <x v="0"/>
    <s v="Returning"/>
  </r>
  <r>
    <n v="50091"/>
    <n v="22423"/>
    <s v="REGENCY CAKESTAND 3 TIER"/>
    <n v="15"/>
    <x v="90"/>
    <n v="12.91"/>
    <n v="12624"/>
    <x v="7"/>
    <n v="193.65"/>
    <x v="4"/>
    <n v="2024"/>
    <x v="0"/>
    <s v="Wholesale"/>
  </r>
  <r>
    <n v="50092"/>
    <n v="22086"/>
    <s v="PAPER CHAIN KIT 50'S CHRISTMAS"/>
    <n v="11"/>
    <x v="91"/>
    <n v="2.73"/>
    <n v="12816"/>
    <x v="4"/>
    <n v="30.03"/>
    <x v="0"/>
    <n v="2024"/>
    <x v="0"/>
    <s v="Wholesale"/>
  </r>
  <r>
    <s v="C50093"/>
    <n v="22086"/>
    <s v="PAPER CHAIN KIT 50'S CHRISTMAS"/>
    <n v="-4"/>
    <x v="92"/>
    <n v="2.6"/>
    <n v="12737"/>
    <x v="7"/>
    <n v="-10.4"/>
    <x v="7"/>
    <n v="2024"/>
    <x v="1"/>
    <s v="New"/>
  </r>
  <r>
    <n v="50094"/>
    <n v="23203"/>
    <s v="JUMBO BAG DOILEY PATTERNS"/>
    <n v="23"/>
    <x v="93"/>
    <n v="2.29"/>
    <n v="12458"/>
    <x v="1"/>
    <n v="52.67"/>
    <x v="1"/>
    <n v="2024"/>
    <x v="0"/>
    <s v="Returning"/>
  </r>
  <r>
    <n v="50095"/>
    <s v="84406B"/>
    <s v="CREAM CUPID HEARTS COAT HANGER"/>
    <n v="13"/>
    <x v="94"/>
    <n v="2.63"/>
    <n v="12595"/>
    <x v="2"/>
    <n v="34.19"/>
    <x v="7"/>
    <n v="2024"/>
    <x v="0"/>
    <s v="New"/>
  </r>
  <r>
    <n v="50096"/>
    <n v="23203"/>
    <s v="JUMBO BAG DOILEY PATTERNS"/>
    <n v="12"/>
    <x v="95"/>
    <n v="2.31"/>
    <n v="12338"/>
    <x v="2"/>
    <n v="27.72"/>
    <x v="1"/>
    <n v="2024"/>
    <x v="0"/>
    <s v="Returning"/>
  </r>
  <r>
    <n v="50097"/>
    <n v="20725"/>
    <s v="LUNCH BAG RED RETROSPOT"/>
    <n v="9"/>
    <x v="96"/>
    <n v="1.82"/>
    <n v="12323"/>
    <x v="6"/>
    <n v="16.38"/>
    <x v="7"/>
    <n v="2024"/>
    <x v="0"/>
    <s v="New"/>
  </r>
  <r>
    <n v="50098"/>
    <s v="82494L"/>
    <s v="WOODEN FRAME ANTIQUE WHITE"/>
    <n v="7"/>
    <x v="97"/>
    <n v="3.01"/>
    <n v="12741"/>
    <x v="3"/>
    <n v="21.07"/>
    <x v="3"/>
    <n v="2024"/>
    <x v="0"/>
    <s v="Wholesale"/>
  </r>
  <r>
    <n v="50099"/>
    <s v="POST"/>
    <s v="POSTAGE"/>
    <n v="4"/>
    <x v="98"/>
    <n v="17.170000000000002"/>
    <n v="12369"/>
    <x v="5"/>
    <n v="68.680000000000007"/>
    <x v="6"/>
    <n v="2024"/>
    <x v="0"/>
    <s v="Wholesale"/>
  </r>
  <r>
    <n v="50100"/>
    <n v="22960"/>
    <s v="JAM MAKING SET WITH JARS"/>
    <n v="5"/>
    <x v="99"/>
    <n v="5.0599999999999996"/>
    <n v="12566"/>
    <x v="4"/>
    <n v="25.299999999999997"/>
    <x v="0"/>
    <n v="2024"/>
    <x v="0"/>
    <s v="Returning"/>
  </r>
  <r>
    <n v="50101"/>
    <n v="84879"/>
    <s v="ASSORTED COLOUR BIRD ORNAMENT"/>
    <n v="4"/>
    <x v="100"/>
    <n v="1.78"/>
    <n v="12480"/>
    <x v="8"/>
    <n v="7.12"/>
    <x v="6"/>
    <n v="2024"/>
    <x v="0"/>
    <s v="Wholesale"/>
  </r>
  <r>
    <n v="50102"/>
    <n v="20725"/>
    <s v="LUNCH BAG RED RETROSPOT"/>
    <n v="2"/>
    <x v="101"/>
    <n v="1.9"/>
    <n v="12116"/>
    <x v="6"/>
    <n v="3.8"/>
    <x v="5"/>
    <n v="2024"/>
    <x v="0"/>
    <s v="Returning"/>
  </r>
  <r>
    <n v="50103"/>
    <n v="22386"/>
    <s v="JUMBO BAG PINK POLKADOT"/>
    <n v="19"/>
    <x v="102"/>
    <n v="1.69"/>
    <n v="12152"/>
    <x v="3"/>
    <n v="32.11"/>
    <x v="11"/>
    <n v="2024"/>
    <x v="0"/>
    <s v="Returning"/>
  </r>
  <r>
    <n v="50104"/>
    <n v="22960"/>
    <s v="JAM MAKING SET WITH JARS"/>
    <n v="4"/>
    <x v="103"/>
    <n v="4.2300000000000004"/>
    <n v="12610"/>
    <x v="3"/>
    <n v="16.920000000000002"/>
    <x v="4"/>
    <n v="2024"/>
    <x v="0"/>
    <s v="Returning"/>
  </r>
  <r>
    <n v="50105"/>
    <n v="22423"/>
    <s v="REGENCY CAKESTAND 3 TIER"/>
    <n v="15"/>
    <x v="104"/>
    <n v="12.16"/>
    <n v="12602"/>
    <x v="7"/>
    <n v="182.4"/>
    <x v="11"/>
    <n v="2024"/>
    <x v="0"/>
    <s v="Returning"/>
  </r>
  <r>
    <n v="50106"/>
    <n v="22960"/>
    <s v="JAM MAKING SET WITH JARS"/>
    <n v="20"/>
    <x v="105"/>
    <n v="3.76"/>
    <n v="12781"/>
    <x v="9"/>
    <n v="75.199999999999989"/>
    <x v="1"/>
    <n v="2024"/>
    <x v="0"/>
    <s v="New"/>
  </r>
  <r>
    <n v="50107"/>
    <n v="22727"/>
    <s v="ALARM CLOCK BAKELIKE RED"/>
    <n v="6"/>
    <x v="106"/>
    <n v="3.91"/>
    <n v="12160"/>
    <x v="1"/>
    <n v="23.46"/>
    <x v="7"/>
    <n v="2024"/>
    <x v="0"/>
    <s v="Returning"/>
  </r>
  <r>
    <s v="C50108"/>
    <s v="85099B"/>
    <s v="JUMBO BAG RED RETROSPOT"/>
    <n v="-5"/>
    <x v="107"/>
    <n v="2.2799999999999998"/>
    <n v="12719"/>
    <x v="8"/>
    <n v="-11.399999999999999"/>
    <x v="9"/>
    <n v="2024"/>
    <x v="1"/>
    <s v="New"/>
  </r>
  <r>
    <n v="50109"/>
    <s v="84406B"/>
    <s v="CREAM CUPID HEARTS COAT HANGER"/>
    <n v="9"/>
    <x v="108"/>
    <n v="2.94"/>
    <n v="12677"/>
    <x v="9"/>
    <n v="26.46"/>
    <x v="3"/>
    <n v="2024"/>
    <x v="0"/>
    <s v="New"/>
  </r>
  <r>
    <n v="50110"/>
    <s v="85099B"/>
    <s v="JUMBO BAG RED RETROSPOT"/>
    <n v="8"/>
    <x v="109"/>
    <n v="2.4300000000000002"/>
    <n v="12846"/>
    <x v="5"/>
    <n v="19.440000000000001"/>
    <x v="4"/>
    <n v="2024"/>
    <x v="0"/>
    <s v="Wholesale"/>
  </r>
  <r>
    <n v="50111"/>
    <s v="84406B"/>
    <s v="CREAM CUPID HEARTS COAT HANGER"/>
    <n v="10"/>
    <x v="110"/>
    <n v="3.13"/>
    <n v="12943"/>
    <x v="4"/>
    <n v="31.299999999999997"/>
    <x v="0"/>
    <n v="2024"/>
    <x v="0"/>
    <s v="New"/>
  </r>
  <r>
    <n v="50112"/>
    <n v="20725"/>
    <s v="LUNCH BAG RED RETROSPOT"/>
    <n v="23"/>
    <x v="111"/>
    <n v="1.63"/>
    <n v="12278"/>
    <x v="0"/>
    <n v="37.489999999999995"/>
    <x v="8"/>
    <n v="2024"/>
    <x v="0"/>
    <s v="Returning"/>
  </r>
  <r>
    <n v="50113"/>
    <s v="82494L"/>
    <s v="WOODEN FRAME ANTIQUE WHITE"/>
    <n v="3"/>
    <x v="112"/>
    <n v="3.43"/>
    <n v="12752"/>
    <x v="2"/>
    <n v="10.290000000000001"/>
    <x v="11"/>
    <n v="2024"/>
    <x v="0"/>
    <s v="Returning"/>
  </r>
  <r>
    <n v="50114"/>
    <n v="84991"/>
    <s v="60 TEATIME FAIRY CAKE CASES"/>
    <n v="3"/>
    <x v="113"/>
    <n v="0.6"/>
    <n v="12881"/>
    <x v="3"/>
    <n v="1.7999999999999998"/>
    <x v="7"/>
    <n v="2024"/>
    <x v="0"/>
    <s v="New"/>
  </r>
  <r>
    <s v="C50115"/>
    <s v="84970S"/>
    <s v="HANGING HEART ZINC T-LIGHT HOLDER"/>
    <n v="-3"/>
    <x v="114"/>
    <n v="1.27"/>
    <n v="12667"/>
    <x v="8"/>
    <n v="-3.81"/>
    <x v="0"/>
    <n v="2024"/>
    <x v="1"/>
    <s v="New"/>
  </r>
  <r>
    <n v="50116"/>
    <n v="47566"/>
    <s v="PARTY BUNTING"/>
    <n v="14"/>
    <x v="115"/>
    <n v="5.0599999999999996"/>
    <n v="12093"/>
    <x v="8"/>
    <n v="70.839999999999989"/>
    <x v="2"/>
    <n v="2024"/>
    <x v="0"/>
    <s v="Wholesale"/>
  </r>
  <r>
    <n v="50117"/>
    <n v="21212"/>
    <s v="PACK OF 72 RETROSPOT CAKE CASES"/>
    <n v="11"/>
    <x v="116"/>
    <n v="0.63"/>
    <n v="12337"/>
    <x v="7"/>
    <n v="6.93"/>
    <x v="10"/>
    <n v="2024"/>
    <x v="0"/>
    <s v="New"/>
  </r>
  <r>
    <s v="C50118"/>
    <n v="23203"/>
    <s v="JUMBO BAG DOILEY PATTERNS"/>
    <n v="-2"/>
    <x v="117"/>
    <n v="2"/>
    <n v="12331"/>
    <x v="6"/>
    <n v="-4"/>
    <x v="7"/>
    <n v="2024"/>
    <x v="1"/>
    <s v="New"/>
  </r>
  <r>
    <n v="50119"/>
    <n v="22386"/>
    <s v="JUMBO BAG PINK POLKADOT"/>
    <n v="22"/>
    <x v="118"/>
    <n v="1.97"/>
    <n v="12055"/>
    <x v="9"/>
    <n v="43.339999999999996"/>
    <x v="11"/>
    <n v="2024"/>
    <x v="0"/>
    <s v="New"/>
  </r>
  <r>
    <n v="50120"/>
    <s v="POST"/>
    <s v="POSTAGE"/>
    <n v="21"/>
    <x v="119"/>
    <n v="15.63"/>
    <n v="12273"/>
    <x v="0"/>
    <n v="328.23"/>
    <x v="10"/>
    <n v="2024"/>
    <x v="0"/>
    <s v="Wholesale"/>
  </r>
  <r>
    <n v="50121"/>
    <n v="84879"/>
    <s v="ASSORTED COLOUR BIRD ORNAMENT"/>
    <n v="23"/>
    <x v="120"/>
    <n v="1.45"/>
    <n v="12645"/>
    <x v="3"/>
    <n v="33.35"/>
    <x v="7"/>
    <n v="2024"/>
    <x v="0"/>
    <s v="Wholesale"/>
  </r>
  <r>
    <n v="50122"/>
    <n v="22423"/>
    <s v="REGENCY CAKESTAND 3 TIER"/>
    <n v="10"/>
    <x v="121"/>
    <n v="13.3"/>
    <n v="12095"/>
    <x v="9"/>
    <n v="133"/>
    <x v="3"/>
    <n v="2024"/>
    <x v="0"/>
    <s v="New"/>
  </r>
  <r>
    <n v="50123"/>
    <s v="84029G"/>
    <s v="KNITTED UNION FLAG HOT WATER BOTTLE"/>
    <n v="21"/>
    <x v="122"/>
    <n v="3.47"/>
    <n v="12733"/>
    <x v="4"/>
    <n v="72.87"/>
    <x v="9"/>
    <n v="2024"/>
    <x v="0"/>
    <s v="New"/>
  </r>
  <r>
    <n v="50124"/>
    <s v="POST"/>
    <s v="POSTAGE"/>
    <n v="14"/>
    <x v="123"/>
    <n v="21.48"/>
    <n v="12249"/>
    <x v="8"/>
    <n v="300.72000000000003"/>
    <x v="3"/>
    <n v="2024"/>
    <x v="0"/>
    <s v="Wholesale"/>
  </r>
  <r>
    <n v="50125"/>
    <s v="82494L"/>
    <s v="WOODEN FRAME ANTIQUE WHITE"/>
    <n v="7"/>
    <x v="124"/>
    <n v="3.03"/>
    <n v="12900"/>
    <x v="5"/>
    <n v="21.209999999999997"/>
    <x v="8"/>
    <n v="2024"/>
    <x v="0"/>
    <s v="Wholesale"/>
  </r>
  <r>
    <n v="50126"/>
    <s v="84406B"/>
    <s v="CREAM CUPID HEARTS COAT HANGER"/>
    <n v="11"/>
    <x v="125"/>
    <n v="2.83"/>
    <n v="12840"/>
    <x v="1"/>
    <n v="31.130000000000003"/>
    <x v="7"/>
    <n v="2024"/>
    <x v="0"/>
    <s v="Wholesale"/>
  </r>
  <r>
    <n v="50127"/>
    <n v="22960"/>
    <s v="JAM MAKING SET WITH JARS"/>
    <n v="22"/>
    <x v="126"/>
    <n v="3.83"/>
    <n v="12551"/>
    <x v="8"/>
    <n v="84.26"/>
    <x v="5"/>
    <n v="2024"/>
    <x v="0"/>
    <s v="New"/>
  </r>
  <r>
    <n v="50128"/>
    <n v="21212"/>
    <s v="PACK OF 72 RETROSPOT CAKE CASES"/>
    <n v="18"/>
    <x v="127"/>
    <n v="0.65"/>
    <n v="12890"/>
    <x v="9"/>
    <n v="11.700000000000001"/>
    <x v="5"/>
    <n v="2024"/>
    <x v="0"/>
    <s v="Returning"/>
  </r>
  <r>
    <n v="50129"/>
    <n v="22423"/>
    <s v="REGENCY CAKESTAND 3 TIER"/>
    <n v="8"/>
    <x v="128"/>
    <n v="12.67"/>
    <n v="12325"/>
    <x v="8"/>
    <n v="101.36"/>
    <x v="1"/>
    <n v="2024"/>
    <x v="0"/>
    <s v="New"/>
  </r>
  <r>
    <n v="50130"/>
    <n v="22386"/>
    <s v="JUMBO BAG PINK POLKADOT"/>
    <n v="16"/>
    <x v="129"/>
    <n v="1.74"/>
    <n v="12988"/>
    <x v="3"/>
    <n v="27.84"/>
    <x v="10"/>
    <n v="2024"/>
    <x v="0"/>
    <s v="Returning"/>
  </r>
  <r>
    <n v="50131"/>
    <n v="22086"/>
    <s v="PAPER CHAIN KIT 50'S CHRISTMAS"/>
    <n v="4"/>
    <x v="130"/>
    <n v="2.98"/>
    <n v="12739"/>
    <x v="5"/>
    <n v="11.92"/>
    <x v="4"/>
    <n v="2024"/>
    <x v="0"/>
    <s v="New"/>
  </r>
  <r>
    <n v="50132"/>
    <s v="85099B"/>
    <s v="JUMBO BAG RED RETROSPOT"/>
    <n v="3"/>
    <x v="131"/>
    <n v="2.4700000000000002"/>
    <n v="12346"/>
    <x v="3"/>
    <n v="7.41"/>
    <x v="3"/>
    <n v="2024"/>
    <x v="0"/>
    <s v="Returning"/>
  </r>
  <r>
    <n v="50133"/>
    <n v="22386"/>
    <s v="JUMBO BAG PINK POLKADOT"/>
    <n v="11"/>
    <x v="132"/>
    <n v="2.2400000000000002"/>
    <n v="12389"/>
    <x v="2"/>
    <n v="24.64"/>
    <x v="6"/>
    <n v="2024"/>
    <x v="0"/>
    <s v="New"/>
  </r>
  <r>
    <n v="50134"/>
    <n v="23203"/>
    <s v="JUMBO BAG DOILEY PATTERNS"/>
    <n v="20"/>
    <x v="133"/>
    <n v="2.23"/>
    <n v="12943"/>
    <x v="4"/>
    <n v="44.6"/>
    <x v="1"/>
    <n v="2024"/>
    <x v="0"/>
    <s v="New"/>
  </r>
  <r>
    <n v="50135"/>
    <n v="22423"/>
    <s v="REGENCY CAKESTAND 3 TIER"/>
    <n v="4"/>
    <x v="134"/>
    <n v="13.98"/>
    <n v="12102"/>
    <x v="8"/>
    <n v="55.92"/>
    <x v="4"/>
    <n v="2024"/>
    <x v="0"/>
    <s v="Wholesale"/>
  </r>
  <r>
    <s v="C50136"/>
    <n v="22720"/>
    <s v="SET OF 3 CAKE TINS PANTRY DESIGN"/>
    <n v="-1"/>
    <x v="135"/>
    <n v="4.72"/>
    <n v="12383"/>
    <x v="7"/>
    <n v="-4.72"/>
    <x v="3"/>
    <n v="2024"/>
    <x v="1"/>
    <s v="New"/>
  </r>
  <r>
    <n v="50137"/>
    <n v="84879"/>
    <s v="ASSORTED COLOUR BIRD ORNAMENT"/>
    <n v="14"/>
    <x v="136"/>
    <n v="1.91"/>
    <n v="12174"/>
    <x v="5"/>
    <n v="26.74"/>
    <x v="7"/>
    <n v="2024"/>
    <x v="0"/>
    <s v="Wholesale"/>
  </r>
  <r>
    <n v="50138"/>
    <s v="84406B"/>
    <s v="CREAM CUPID HEARTS COAT HANGER"/>
    <n v="20"/>
    <x v="137"/>
    <n v="2.82"/>
    <n v="12597"/>
    <x v="5"/>
    <n v="56.4"/>
    <x v="6"/>
    <n v="2024"/>
    <x v="0"/>
    <s v="Wholesale"/>
  </r>
  <r>
    <n v="50139"/>
    <n v="22423"/>
    <s v="REGENCY CAKESTAND 3 TIER"/>
    <n v="15"/>
    <x v="138"/>
    <n v="10.88"/>
    <n v="12823"/>
    <x v="8"/>
    <n v="163.20000000000002"/>
    <x v="9"/>
    <n v="2024"/>
    <x v="0"/>
    <s v="New"/>
  </r>
  <r>
    <n v="50140"/>
    <n v="22960"/>
    <s v="JAM MAKING SET WITH JARS"/>
    <n v="6"/>
    <x v="139"/>
    <n v="5.0199999999999996"/>
    <n v="12601"/>
    <x v="4"/>
    <n v="30.119999999999997"/>
    <x v="3"/>
    <n v="2024"/>
    <x v="0"/>
    <s v="New"/>
  </r>
  <r>
    <n v="50141"/>
    <s v="85099B"/>
    <s v="JUMBO BAG RED RETROSPOT"/>
    <n v="15"/>
    <x v="140"/>
    <n v="1.91"/>
    <n v="12393"/>
    <x v="8"/>
    <n v="28.65"/>
    <x v="3"/>
    <n v="2024"/>
    <x v="0"/>
    <s v="Wholesale"/>
  </r>
  <r>
    <n v="50142"/>
    <s v="84029G"/>
    <s v="KNITTED UNION FLAG HOT WATER BOTTLE"/>
    <n v="19"/>
    <x v="141"/>
    <n v="3.23"/>
    <n v="12716"/>
    <x v="4"/>
    <n v="61.37"/>
    <x v="7"/>
    <n v="2024"/>
    <x v="0"/>
    <s v="Returning"/>
  </r>
  <r>
    <s v="C50143"/>
    <s v="85123A"/>
    <s v="WHITE HANGING HEART T-LIGHT HOLDER"/>
    <n v="-1"/>
    <x v="142"/>
    <n v="2.98"/>
    <n v="12763"/>
    <x v="8"/>
    <n v="-2.98"/>
    <x v="3"/>
    <n v="2024"/>
    <x v="1"/>
    <s v="New"/>
  </r>
  <r>
    <n v="50144"/>
    <n v="22960"/>
    <s v="JAM MAKING SET WITH JARS"/>
    <n v="8"/>
    <x v="143"/>
    <n v="4.54"/>
    <n v="12694"/>
    <x v="5"/>
    <n v="36.32"/>
    <x v="2"/>
    <n v="2024"/>
    <x v="0"/>
    <s v="Returning"/>
  </r>
  <r>
    <n v="50145"/>
    <s v="84029G"/>
    <s v="KNITTED UNION FLAG HOT WATER BOTTLE"/>
    <n v="10"/>
    <x v="144"/>
    <n v="2.92"/>
    <n v="12373"/>
    <x v="5"/>
    <n v="29.2"/>
    <x v="6"/>
    <n v="2024"/>
    <x v="0"/>
    <s v="New"/>
  </r>
  <r>
    <n v="50146"/>
    <s v="84406B"/>
    <s v="CREAM CUPID HEARTS COAT HANGER"/>
    <n v="24"/>
    <x v="145"/>
    <n v="2.5299999999999998"/>
    <n v="12805"/>
    <x v="0"/>
    <n v="60.72"/>
    <x v="7"/>
    <n v="2024"/>
    <x v="0"/>
    <s v="New"/>
  </r>
  <r>
    <n v="50147"/>
    <n v="21212"/>
    <s v="PACK OF 72 RETROSPOT CAKE CASES"/>
    <n v="9"/>
    <x v="146"/>
    <n v="0.52"/>
    <n v="12844"/>
    <x v="8"/>
    <n v="4.68"/>
    <x v="11"/>
    <n v="2024"/>
    <x v="0"/>
    <s v="Returning"/>
  </r>
  <r>
    <n v="50148"/>
    <n v="22960"/>
    <s v="JAM MAKING SET WITH JARS"/>
    <n v="15"/>
    <x v="147"/>
    <n v="3.82"/>
    <n v="12989"/>
    <x v="9"/>
    <n v="57.3"/>
    <x v="5"/>
    <n v="2024"/>
    <x v="0"/>
    <s v="New"/>
  </r>
  <r>
    <n v="50149"/>
    <n v="22386"/>
    <s v="JUMBO BAG PINK POLKADOT"/>
    <n v="3"/>
    <x v="148"/>
    <n v="1.67"/>
    <n v="12549"/>
    <x v="6"/>
    <n v="5.01"/>
    <x v="1"/>
    <n v="2024"/>
    <x v="0"/>
    <s v="Wholesale"/>
  </r>
  <r>
    <n v="50150"/>
    <n v="20725"/>
    <s v="LUNCH BAG RED RETROSPOT"/>
    <n v="19"/>
    <x v="149"/>
    <n v="1.77"/>
    <n v="12380"/>
    <x v="6"/>
    <n v="33.630000000000003"/>
    <x v="10"/>
    <n v="2024"/>
    <x v="0"/>
    <s v="Returning"/>
  </r>
  <r>
    <n v="50151"/>
    <n v="22423"/>
    <s v="REGENCY CAKESTAND 3 TIER"/>
    <n v="20"/>
    <x v="150"/>
    <n v="13.34"/>
    <n v="12937"/>
    <x v="3"/>
    <n v="266.8"/>
    <x v="9"/>
    <n v="2024"/>
    <x v="0"/>
    <s v="New"/>
  </r>
  <r>
    <n v="50152"/>
    <n v="22423"/>
    <s v="REGENCY CAKESTAND 3 TIER"/>
    <n v="21"/>
    <x v="151"/>
    <n v="14.9"/>
    <n v="12309"/>
    <x v="7"/>
    <n v="312.90000000000003"/>
    <x v="6"/>
    <n v="2024"/>
    <x v="0"/>
    <s v="Wholesale"/>
  </r>
  <r>
    <n v="50153"/>
    <s v="84029G"/>
    <s v="KNITTED UNION FLAG HOT WATER BOTTLE"/>
    <n v="2"/>
    <x v="152"/>
    <n v="3.47"/>
    <n v="12099"/>
    <x v="9"/>
    <n v="6.94"/>
    <x v="8"/>
    <n v="2024"/>
    <x v="0"/>
    <s v="Wholesale"/>
  </r>
  <r>
    <n v="50154"/>
    <s v="82494L"/>
    <s v="WOODEN FRAME ANTIQUE WHITE"/>
    <n v="15"/>
    <x v="153"/>
    <n v="3.49"/>
    <n v="12713"/>
    <x v="0"/>
    <n v="52.35"/>
    <x v="8"/>
    <n v="2024"/>
    <x v="0"/>
    <s v="New"/>
  </r>
  <r>
    <n v="50155"/>
    <s v="85099B"/>
    <s v="JUMBO BAG RED RETROSPOT"/>
    <n v="14"/>
    <x v="154"/>
    <n v="2.37"/>
    <n v="12630"/>
    <x v="7"/>
    <n v="33.18"/>
    <x v="1"/>
    <n v="2024"/>
    <x v="0"/>
    <s v="Wholesale"/>
  </r>
  <r>
    <n v="50156"/>
    <n v="47566"/>
    <s v="PARTY BUNTING"/>
    <n v="7"/>
    <x v="155"/>
    <n v="5.85"/>
    <n v="12875"/>
    <x v="2"/>
    <n v="40.949999999999996"/>
    <x v="0"/>
    <n v="2024"/>
    <x v="0"/>
    <s v="New"/>
  </r>
  <r>
    <n v="50157"/>
    <s v="84029G"/>
    <s v="KNITTED UNION FLAG HOT WATER BOTTLE"/>
    <n v="18"/>
    <x v="156"/>
    <n v="3.65"/>
    <n v="12062"/>
    <x v="7"/>
    <n v="65.7"/>
    <x v="3"/>
    <n v="2024"/>
    <x v="0"/>
    <s v="Returning"/>
  </r>
  <r>
    <n v="50158"/>
    <n v="47566"/>
    <s v="PARTY BUNTING"/>
    <n v="15"/>
    <x v="157"/>
    <n v="4.57"/>
    <n v="12654"/>
    <x v="3"/>
    <n v="68.550000000000011"/>
    <x v="2"/>
    <n v="2024"/>
    <x v="0"/>
    <s v="Wholesale"/>
  </r>
  <r>
    <n v="50159"/>
    <s v="85123A"/>
    <s v="WHITE HANGING HEART T-LIGHT HOLDER"/>
    <n v="8"/>
    <x v="158"/>
    <n v="2.87"/>
    <n v="12210"/>
    <x v="6"/>
    <n v="22.96"/>
    <x v="0"/>
    <n v="2024"/>
    <x v="0"/>
    <s v="Wholesale"/>
  </r>
  <r>
    <n v="50160"/>
    <s v="82494L"/>
    <s v="WOODEN FRAME ANTIQUE WHITE"/>
    <n v="7"/>
    <x v="159"/>
    <n v="2.75"/>
    <n v="12792"/>
    <x v="5"/>
    <n v="19.25"/>
    <x v="2"/>
    <n v="2024"/>
    <x v="0"/>
    <s v="Wholesale"/>
  </r>
  <r>
    <n v="50161"/>
    <n v="84991"/>
    <s v="60 TEATIME FAIRY CAKE CASES"/>
    <n v="5"/>
    <x v="160"/>
    <n v="0.56999999999999995"/>
    <n v="12817"/>
    <x v="5"/>
    <n v="2.8499999999999996"/>
    <x v="0"/>
    <n v="2024"/>
    <x v="0"/>
    <s v="New"/>
  </r>
  <r>
    <s v="C50162"/>
    <s v="84029G"/>
    <s v="KNITTED UNION FLAG HOT WATER BOTTLE"/>
    <n v="-2"/>
    <x v="161"/>
    <n v="3.58"/>
    <n v="12016"/>
    <x v="5"/>
    <n v="-7.16"/>
    <x v="3"/>
    <n v="2024"/>
    <x v="1"/>
    <s v="Returning"/>
  </r>
  <r>
    <n v="50163"/>
    <n v="47566"/>
    <s v="PARTY BUNTING"/>
    <n v="24"/>
    <x v="162"/>
    <n v="4.4000000000000004"/>
    <n v="12065"/>
    <x v="8"/>
    <n v="105.60000000000001"/>
    <x v="0"/>
    <n v="2024"/>
    <x v="0"/>
    <s v="New"/>
  </r>
  <r>
    <n v="50164"/>
    <n v="20725"/>
    <s v="LUNCH BAG RED RETROSPOT"/>
    <n v="19"/>
    <x v="163"/>
    <n v="1.69"/>
    <n v="12968"/>
    <x v="3"/>
    <n v="32.11"/>
    <x v="10"/>
    <n v="2024"/>
    <x v="0"/>
    <s v="Returning"/>
  </r>
  <r>
    <n v="50165"/>
    <n v="71053"/>
    <s v="WHITE METAL LANTERN"/>
    <n v="10"/>
    <x v="164"/>
    <n v="4.03"/>
    <n v="12062"/>
    <x v="8"/>
    <n v="40.300000000000004"/>
    <x v="3"/>
    <n v="2024"/>
    <x v="0"/>
    <s v="Returning"/>
  </r>
  <r>
    <n v="50166"/>
    <n v="22386"/>
    <s v="JUMBO BAG PINK POLKADOT"/>
    <n v="16"/>
    <x v="165"/>
    <n v="1.96"/>
    <n v="12920"/>
    <x v="6"/>
    <n v="31.36"/>
    <x v="9"/>
    <n v="2024"/>
    <x v="0"/>
    <s v="Returning"/>
  </r>
  <r>
    <n v="50167"/>
    <n v="22086"/>
    <s v="PAPER CHAIN KIT 50'S CHRISTMAS"/>
    <n v="3"/>
    <x v="166"/>
    <n v="3.15"/>
    <n v="12599"/>
    <x v="0"/>
    <n v="9.4499999999999993"/>
    <x v="6"/>
    <n v="2024"/>
    <x v="0"/>
    <s v="New"/>
  </r>
  <r>
    <n v="50168"/>
    <n v="22086"/>
    <s v="PAPER CHAIN KIT 50'S CHRISTMAS"/>
    <n v="10"/>
    <x v="167"/>
    <n v="3.13"/>
    <n v="12101"/>
    <x v="6"/>
    <n v="31.299999999999997"/>
    <x v="10"/>
    <n v="2024"/>
    <x v="0"/>
    <s v="New"/>
  </r>
  <r>
    <n v="50169"/>
    <s v="82494L"/>
    <s v="WOODEN FRAME ANTIQUE WHITE"/>
    <n v="15"/>
    <x v="168"/>
    <n v="2.93"/>
    <n v="12847"/>
    <x v="8"/>
    <n v="43.95"/>
    <x v="2"/>
    <n v="2024"/>
    <x v="0"/>
    <s v="New"/>
  </r>
  <r>
    <n v="50170"/>
    <n v="22386"/>
    <s v="JUMBO BAG PINK POLKADOT"/>
    <n v="11"/>
    <x v="169"/>
    <n v="2.11"/>
    <n v="12383"/>
    <x v="5"/>
    <n v="23.209999999999997"/>
    <x v="10"/>
    <n v="2024"/>
    <x v="0"/>
    <s v="New"/>
  </r>
  <r>
    <n v="50171"/>
    <n v="23203"/>
    <s v="JUMBO BAG DOILEY PATTERNS"/>
    <n v="3"/>
    <x v="170"/>
    <n v="1.84"/>
    <n v="12756"/>
    <x v="2"/>
    <n v="5.5200000000000005"/>
    <x v="4"/>
    <n v="2024"/>
    <x v="0"/>
    <s v="Wholesale"/>
  </r>
  <r>
    <n v="50172"/>
    <n v="84879"/>
    <s v="ASSORTED COLOUR BIRD ORNAMENT"/>
    <n v="19"/>
    <x v="171"/>
    <n v="1.77"/>
    <n v="12686"/>
    <x v="6"/>
    <n v="33.630000000000003"/>
    <x v="1"/>
    <n v="2024"/>
    <x v="0"/>
    <s v="Returning"/>
  </r>
  <r>
    <s v="C50173"/>
    <s v="85099B"/>
    <s v="JUMBO BAG RED RETROSPOT"/>
    <n v="-5"/>
    <x v="172"/>
    <n v="2.21"/>
    <n v="12360"/>
    <x v="6"/>
    <n v="-11.05"/>
    <x v="5"/>
    <n v="2024"/>
    <x v="1"/>
    <s v="Wholesale"/>
  </r>
  <r>
    <n v="50174"/>
    <s v="84970S"/>
    <s v="HANGING HEART ZINC T-LIGHT HOLDER"/>
    <n v="5"/>
    <x v="173"/>
    <n v="1.1599999999999999"/>
    <n v="12110"/>
    <x v="2"/>
    <n v="5.8"/>
    <x v="11"/>
    <n v="2024"/>
    <x v="0"/>
    <s v="Returning"/>
  </r>
  <r>
    <n v="50175"/>
    <s v="82494L"/>
    <s v="WOODEN FRAME ANTIQUE WHITE"/>
    <n v="9"/>
    <x v="174"/>
    <n v="3.34"/>
    <n v="12865"/>
    <x v="0"/>
    <n v="30.06"/>
    <x v="10"/>
    <n v="2024"/>
    <x v="0"/>
    <s v="New"/>
  </r>
  <r>
    <n v="50176"/>
    <n v="84991"/>
    <s v="60 TEATIME FAIRY CAKE CASES"/>
    <n v="1"/>
    <x v="175"/>
    <n v="0.59"/>
    <n v="12710"/>
    <x v="4"/>
    <n v="0.59"/>
    <x v="6"/>
    <n v="2024"/>
    <x v="0"/>
    <s v="Returning"/>
  </r>
  <r>
    <n v="50177"/>
    <s v="85123A"/>
    <s v="WHITE HANGING HEART T-LIGHT HOLDER"/>
    <n v="23"/>
    <x v="176"/>
    <n v="2.99"/>
    <n v="12359"/>
    <x v="1"/>
    <n v="68.77000000000001"/>
    <x v="2"/>
    <n v="2024"/>
    <x v="0"/>
    <s v="New"/>
  </r>
  <r>
    <n v="50178"/>
    <n v="22720"/>
    <s v="SET OF 3 CAKE TINS PANTRY DESIGN"/>
    <n v="22"/>
    <x v="177"/>
    <n v="4.45"/>
    <n v="12648"/>
    <x v="1"/>
    <n v="97.9"/>
    <x v="8"/>
    <n v="2024"/>
    <x v="0"/>
    <s v="Wholesale"/>
  </r>
  <r>
    <n v="50179"/>
    <s v="84406B"/>
    <s v="CREAM CUPID HEARTS COAT HANGER"/>
    <n v="13"/>
    <x v="178"/>
    <n v="2.67"/>
    <n v="12378"/>
    <x v="4"/>
    <n v="34.71"/>
    <x v="11"/>
    <n v="2024"/>
    <x v="0"/>
    <s v="Wholesale"/>
  </r>
  <r>
    <n v="50180"/>
    <n v="22086"/>
    <s v="PAPER CHAIN KIT 50'S CHRISTMAS"/>
    <n v="2"/>
    <x v="179"/>
    <n v="3.29"/>
    <n v="12050"/>
    <x v="6"/>
    <n v="6.58"/>
    <x v="1"/>
    <n v="2024"/>
    <x v="0"/>
    <s v="Returning"/>
  </r>
  <r>
    <n v="50181"/>
    <n v="47566"/>
    <s v="PARTY BUNTING"/>
    <n v="16"/>
    <x v="180"/>
    <n v="4.93"/>
    <n v="12220"/>
    <x v="0"/>
    <n v="78.88"/>
    <x v="9"/>
    <n v="2024"/>
    <x v="0"/>
    <s v="Returning"/>
  </r>
  <r>
    <n v="50182"/>
    <s v="84029G"/>
    <s v="KNITTED UNION FLAG HOT WATER BOTTLE"/>
    <n v="4"/>
    <x v="181"/>
    <n v="3.69"/>
    <n v="12498"/>
    <x v="0"/>
    <n v="14.76"/>
    <x v="5"/>
    <n v="2024"/>
    <x v="0"/>
    <s v="Wholesale"/>
  </r>
  <r>
    <n v="50183"/>
    <n v="22960"/>
    <s v="JAM MAKING SET WITH JARS"/>
    <n v="13"/>
    <x v="182"/>
    <n v="3.69"/>
    <n v="12209"/>
    <x v="4"/>
    <n v="47.97"/>
    <x v="0"/>
    <n v="2024"/>
    <x v="0"/>
    <s v="New"/>
  </r>
  <r>
    <n v="50184"/>
    <n v="22727"/>
    <s v="ALARM CLOCK BAKELIKE RED"/>
    <n v="10"/>
    <x v="183"/>
    <n v="3.2"/>
    <n v="12764"/>
    <x v="7"/>
    <n v="32"/>
    <x v="8"/>
    <n v="2024"/>
    <x v="0"/>
    <s v="Returning"/>
  </r>
  <r>
    <n v="50185"/>
    <n v="22720"/>
    <s v="SET OF 3 CAKE TINS PANTRY DESIGN"/>
    <n v="18"/>
    <x v="184"/>
    <n v="5.07"/>
    <n v="12853"/>
    <x v="2"/>
    <n v="91.26"/>
    <x v="8"/>
    <n v="2024"/>
    <x v="0"/>
    <s v="New"/>
  </r>
  <r>
    <s v="C50186"/>
    <s v="84406B"/>
    <s v="CREAM CUPID HEARTS COAT HANGER"/>
    <n v="-2"/>
    <x v="185"/>
    <n v="3.17"/>
    <n v="12589"/>
    <x v="7"/>
    <n v="-6.34"/>
    <x v="10"/>
    <n v="2024"/>
    <x v="1"/>
    <s v="New"/>
  </r>
  <r>
    <n v="50187"/>
    <s v="84970S"/>
    <s v="HANGING HEART ZINC T-LIGHT HOLDER"/>
    <n v="10"/>
    <x v="186"/>
    <n v="1.07"/>
    <n v="12332"/>
    <x v="5"/>
    <n v="10.700000000000001"/>
    <x v="10"/>
    <n v="2024"/>
    <x v="0"/>
    <s v="Returning"/>
  </r>
  <r>
    <n v="50188"/>
    <n v="84991"/>
    <s v="60 TEATIME FAIRY CAKE CASES"/>
    <n v="3"/>
    <x v="187"/>
    <n v="0.49"/>
    <n v="12446"/>
    <x v="3"/>
    <n v="1.47"/>
    <x v="9"/>
    <n v="2024"/>
    <x v="0"/>
    <s v="Returning"/>
  </r>
  <r>
    <n v="50189"/>
    <n v="22386"/>
    <s v="JUMBO BAG PINK POLKADOT"/>
    <n v="13"/>
    <x v="188"/>
    <n v="2.17"/>
    <n v="12226"/>
    <x v="2"/>
    <n v="28.21"/>
    <x v="11"/>
    <n v="2024"/>
    <x v="0"/>
    <s v="Returning"/>
  </r>
  <r>
    <n v="50190"/>
    <n v="22720"/>
    <s v="SET OF 3 CAKE TINS PANTRY DESIGN"/>
    <n v="21"/>
    <x v="189"/>
    <n v="5.09"/>
    <n v="12927"/>
    <x v="2"/>
    <n v="106.89"/>
    <x v="4"/>
    <n v="2024"/>
    <x v="0"/>
    <s v="Wholesale"/>
  </r>
  <r>
    <n v="50191"/>
    <n v="21212"/>
    <s v="PACK OF 72 RETROSPOT CAKE CASES"/>
    <n v="8"/>
    <x v="190"/>
    <n v="0.52"/>
    <n v="12177"/>
    <x v="3"/>
    <n v="4.16"/>
    <x v="6"/>
    <n v="2024"/>
    <x v="0"/>
    <s v="Wholesale"/>
  </r>
  <r>
    <n v="50192"/>
    <n v="84879"/>
    <s v="ASSORTED COLOUR BIRD ORNAMENT"/>
    <n v="6"/>
    <x v="191"/>
    <n v="1.81"/>
    <n v="12475"/>
    <x v="3"/>
    <n v="10.86"/>
    <x v="3"/>
    <n v="2024"/>
    <x v="0"/>
    <s v="New"/>
  </r>
  <r>
    <n v="50193"/>
    <s v="84970S"/>
    <s v="HANGING HEART ZINC T-LIGHT HOLDER"/>
    <n v="21"/>
    <x v="192"/>
    <n v="1.34"/>
    <n v="12884"/>
    <x v="2"/>
    <n v="28.14"/>
    <x v="9"/>
    <n v="2024"/>
    <x v="0"/>
    <s v="Returning"/>
  </r>
  <r>
    <n v="50194"/>
    <n v="84879"/>
    <s v="ASSORTED COLOUR BIRD ORNAMENT"/>
    <n v="16"/>
    <x v="193"/>
    <n v="1.62"/>
    <n v="12281"/>
    <x v="3"/>
    <n v="25.92"/>
    <x v="9"/>
    <n v="2024"/>
    <x v="0"/>
    <s v="New"/>
  </r>
  <r>
    <n v="50195"/>
    <n v="71053"/>
    <s v="WHITE METAL LANTERN"/>
    <n v="3"/>
    <x v="194"/>
    <n v="3.42"/>
    <n v="12058"/>
    <x v="2"/>
    <n v="10.26"/>
    <x v="5"/>
    <n v="2024"/>
    <x v="0"/>
    <s v="Returning"/>
  </r>
  <r>
    <n v="50196"/>
    <n v="22960"/>
    <s v="JAM MAKING SET WITH JARS"/>
    <n v="20"/>
    <x v="195"/>
    <n v="4.18"/>
    <n v="12594"/>
    <x v="0"/>
    <n v="83.6"/>
    <x v="4"/>
    <n v="2024"/>
    <x v="0"/>
    <s v="Wholesale"/>
  </r>
  <r>
    <n v="50197"/>
    <n v="71053"/>
    <s v="WHITE METAL LANTERN"/>
    <n v="21"/>
    <x v="196"/>
    <n v="3.6"/>
    <n v="12513"/>
    <x v="5"/>
    <n v="75.600000000000009"/>
    <x v="9"/>
    <n v="2024"/>
    <x v="0"/>
    <s v="Wholesale"/>
  </r>
  <r>
    <n v="50198"/>
    <n v="71053"/>
    <s v="WHITE METAL LANTERN"/>
    <n v="11"/>
    <x v="197"/>
    <n v="2.98"/>
    <n v="12661"/>
    <x v="5"/>
    <n v="32.78"/>
    <x v="9"/>
    <n v="2024"/>
    <x v="0"/>
    <s v="New"/>
  </r>
  <r>
    <n v="50199"/>
    <n v="71053"/>
    <s v="WHITE METAL LANTERN"/>
    <n v="15"/>
    <x v="198"/>
    <n v="3.61"/>
    <n v="12372"/>
    <x v="2"/>
    <n v="54.15"/>
    <x v="7"/>
    <n v="2024"/>
    <x v="0"/>
    <s v="Wholesale"/>
  </r>
  <r>
    <n v="50200"/>
    <n v="22960"/>
    <s v="JAM MAKING SET WITH JARS"/>
    <n v="11"/>
    <x v="199"/>
    <n v="3.69"/>
    <n v="12646"/>
    <x v="2"/>
    <n v="40.589999999999996"/>
    <x v="10"/>
    <n v="2024"/>
    <x v="0"/>
    <s v="Returning"/>
  </r>
  <r>
    <n v="50201"/>
    <s v="84406B"/>
    <s v="CREAM CUPID HEARTS COAT HANGER"/>
    <n v="18"/>
    <x v="200"/>
    <n v="2.61"/>
    <n v="12741"/>
    <x v="3"/>
    <n v="46.98"/>
    <x v="5"/>
    <n v="2024"/>
    <x v="0"/>
    <s v="Wholesale"/>
  </r>
  <r>
    <n v="50202"/>
    <n v="84879"/>
    <s v="ASSORTED COLOUR BIRD ORNAMENT"/>
    <n v="19"/>
    <x v="201"/>
    <n v="1.98"/>
    <n v="12317"/>
    <x v="7"/>
    <n v="37.619999999999997"/>
    <x v="5"/>
    <n v="2024"/>
    <x v="0"/>
    <s v="New"/>
  </r>
  <r>
    <n v="50203"/>
    <n v="84879"/>
    <s v="ASSORTED COLOUR BIRD ORNAMENT"/>
    <n v="10"/>
    <x v="202"/>
    <n v="1.82"/>
    <n v="12336"/>
    <x v="5"/>
    <n v="18.2"/>
    <x v="1"/>
    <n v="2024"/>
    <x v="0"/>
    <s v="Wholesale"/>
  </r>
  <r>
    <n v="50204"/>
    <s v="POST"/>
    <s v="POSTAGE"/>
    <n v="17"/>
    <x v="46"/>
    <n v="17.579999999999998"/>
    <n v="12184"/>
    <x v="9"/>
    <n v="298.85999999999996"/>
    <x v="4"/>
    <n v="2024"/>
    <x v="0"/>
    <s v="Returning"/>
  </r>
  <r>
    <n v="50205"/>
    <n v="22086"/>
    <s v="PAPER CHAIN KIT 50'S CHRISTMAS"/>
    <n v="8"/>
    <x v="203"/>
    <n v="2.67"/>
    <n v="12302"/>
    <x v="6"/>
    <n v="21.36"/>
    <x v="11"/>
    <n v="2024"/>
    <x v="0"/>
    <s v="Returning"/>
  </r>
  <r>
    <n v="50206"/>
    <s v="POST"/>
    <s v="POSTAGE"/>
    <n v="2"/>
    <x v="204"/>
    <n v="20.82"/>
    <n v="12632"/>
    <x v="5"/>
    <n v="41.64"/>
    <x v="1"/>
    <n v="2024"/>
    <x v="0"/>
    <s v="Returning"/>
  </r>
  <r>
    <n v="50207"/>
    <n v="84991"/>
    <s v="60 TEATIME FAIRY CAKE CASES"/>
    <n v="6"/>
    <x v="205"/>
    <n v="0.6"/>
    <n v="12639"/>
    <x v="5"/>
    <n v="3.5999999999999996"/>
    <x v="10"/>
    <n v="2024"/>
    <x v="0"/>
    <s v="Wholesale"/>
  </r>
  <r>
    <n v="50208"/>
    <n v="20725"/>
    <s v="LUNCH BAG RED RETROSPOT"/>
    <n v="12"/>
    <x v="206"/>
    <n v="1.54"/>
    <n v="12454"/>
    <x v="3"/>
    <n v="18.48"/>
    <x v="0"/>
    <n v="2024"/>
    <x v="0"/>
    <s v="Returning"/>
  </r>
  <r>
    <n v="50209"/>
    <n v="22960"/>
    <s v="JAM MAKING SET WITH JARS"/>
    <n v="18"/>
    <x v="207"/>
    <n v="5.05"/>
    <n v="12803"/>
    <x v="8"/>
    <n v="90.899999999999991"/>
    <x v="9"/>
    <n v="2024"/>
    <x v="0"/>
    <s v="New"/>
  </r>
  <r>
    <n v="50210"/>
    <n v="22727"/>
    <s v="ALARM CLOCK BAKELIKE RED"/>
    <n v="15"/>
    <x v="208"/>
    <n v="3.56"/>
    <n v="12391"/>
    <x v="0"/>
    <n v="53.4"/>
    <x v="10"/>
    <n v="2024"/>
    <x v="0"/>
    <s v="New"/>
  </r>
  <r>
    <n v="50211"/>
    <s v="POST"/>
    <s v="POSTAGE"/>
    <n v="7"/>
    <x v="209"/>
    <n v="16.170000000000002"/>
    <n v="12256"/>
    <x v="1"/>
    <n v="113.19000000000001"/>
    <x v="9"/>
    <n v="2024"/>
    <x v="0"/>
    <s v="Returning"/>
  </r>
  <r>
    <n v="50212"/>
    <n v="23203"/>
    <s v="JUMBO BAG DOILEY PATTERNS"/>
    <n v="4"/>
    <x v="210"/>
    <n v="2.14"/>
    <n v="12127"/>
    <x v="4"/>
    <n v="8.56"/>
    <x v="10"/>
    <n v="2024"/>
    <x v="0"/>
    <s v="New"/>
  </r>
  <r>
    <n v="50213"/>
    <s v="84406B"/>
    <s v="CREAM CUPID HEARTS COAT HANGER"/>
    <n v="15"/>
    <x v="211"/>
    <n v="2.48"/>
    <n v="12447"/>
    <x v="6"/>
    <n v="37.200000000000003"/>
    <x v="8"/>
    <n v="2024"/>
    <x v="0"/>
    <s v="Wholesale"/>
  </r>
  <r>
    <n v="50214"/>
    <n v="22423"/>
    <s v="REGENCY CAKESTAND 3 TIER"/>
    <n v="1"/>
    <x v="212"/>
    <n v="12.61"/>
    <n v="12382"/>
    <x v="9"/>
    <n v="12.61"/>
    <x v="9"/>
    <n v="2024"/>
    <x v="0"/>
    <s v="Returning"/>
  </r>
  <r>
    <s v="C50215"/>
    <n v="22386"/>
    <s v="JUMBO BAG PINK POLKADOT"/>
    <n v="-2"/>
    <x v="213"/>
    <n v="2.23"/>
    <n v="12665"/>
    <x v="2"/>
    <n v="-4.46"/>
    <x v="4"/>
    <n v="2024"/>
    <x v="1"/>
    <s v="New"/>
  </r>
  <r>
    <n v="50216"/>
    <n v="84879"/>
    <s v="ASSORTED COLOUR BIRD ORNAMENT"/>
    <n v="10"/>
    <x v="214"/>
    <n v="1.72"/>
    <n v="12851"/>
    <x v="5"/>
    <n v="17.2"/>
    <x v="8"/>
    <n v="2024"/>
    <x v="0"/>
    <s v="New"/>
  </r>
  <r>
    <s v="C50217"/>
    <n v="23203"/>
    <s v="JUMBO BAG DOILEY PATTERNS"/>
    <n v="-1"/>
    <x v="215"/>
    <n v="2.38"/>
    <n v="12561"/>
    <x v="3"/>
    <n v="-2.38"/>
    <x v="9"/>
    <n v="2024"/>
    <x v="1"/>
    <s v="Wholesale"/>
  </r>
  <r>
    <n v="50218"/>
    <s v="POST"/>
    <s v="POSTAGE"/>
    <n v="10"/>
    <x v="216"/>
    <n v="16.07"/>
    <n v="12244"/>
    <x v="7"/>
    <n v="160.69999999999999"/>
    <x v="9"/>
    <n v="2024"/>
    <x v="0"/>
    <s v="Returning"/>
  </r>
  <r>
    <n v="50219"/>
    <n v="84991"/>
    <s v="60 TEATIME FAIRY CAKE CASES"/>
    <n v="4"/>
    <x v="217"/>
    <n v="0.56000000000000005"/>
    <n v="12548"/>
    <x v="1"/>
    <n v="2.2400000000000002"/>
    <x v="9"/>
    <n v="2024"/>
    <x v="0"/>
    <s v="Returning"/>
  </r>
  <r>
    <n v="50220"/>
    <s v="POST"/>
    <s v="POSTAGE"/>
    <n v="23"/>
    <x v="218"/>
    <n v="18"/>
    <n v="12629"/>
    <x v="2"/>
    <n v="414"/>
    <x v="1"/>
    <n v="2024"/>
    <x v="0"/>
    <s v="New"/>
  </r>
  <r>
    <n v="50221"/>
    <n v="22423"/>
    <s v="REGENCY CAKESTAND 3 TIER"/>
    <n v="6"/>
    <x v="219"/>
    <n v="11.22"/>
    <n v="12998"/>
    <x v="2"/>
    <n v="67.320000000000007"/>
    <x v="1"/>
    <n v="2024"/>
    <x v="0"/>
    <s v="Returning"/>
  </r>
  <r>
    <n v="50222"/>
    <s v="84406B"/>
    <s v="CREAM CUPID HEARTS COAT HANGER"/>
    <n v="17"/>
    <x v="220"/>
    <n v="2.83"/>
    <n v="12020"/>
    <x v="7"/>
    <n v="48.11"/>
    <x v="11"/>
    <n v="2024"/>
    <x v="0"/>
    <s v="Returning"/>
  </r>
  <r>
    <n v="50223"/>
    <n v="23203"/>
    <s v="JUMBO BAG DOILEY PATTERNS"/>
    <n v="12"/>
    <x v="221"/>
    <n v="1.78"/>
    <n v="12807"/>
    <x v="6"/>
    <n v="21.36"/>
    <x v="0"/>
    <n v="2024"/>
    <x v="0"/>
    <s v="Wholesale"/>
  </r>
  <r>
    <n v="50224"/>
    <n v="21212"/>
    <s v="PACK OF 72 RETROSPOT CAKE CASES"/>
    <n v="19"/>
    <x v="222"/>
    <n v="0.53"/>
    <n v="12045"/>
    <x v="2"/>
    <n v="10.07"/>
    <x v="7"/>
    <n v="2024"/>
    <x v="0"/>
    <s v="Wholesale"/>
  </r>
  <r>
    <n v="50225"/>
    <s v="82494L"/>
    <s v="WOODEN FRAME ANTIQUE WHITE"/>
    <n v="22"/>
    <x v="223"/>
    <n v="3.23"/>
    <n v="12646"/>
    <x v="5"/>
    <n v="71.06"/>
    <x v="5"/>
    <n v="2024"/>
    <x v="0"/>
    <s v="Returning"/>
  </r>
  <r>
    <n v="50226"/>
    <n v="84879"/>
    <s v="ASSORTED COLOUR BIRD ORNAMENT"/>
    <n v="2"/>
    <x v="224"/>
    <n v="1.46"/>
    <n v="12204"/>
    <x v="1"/>
    <n v="2.92"/>
    <x v="4"/>
    <n v="2024"/>
    <x v="0"/>
    <s v="Wholesale"/>
  </r>
  <r>
    <n v="50227"/>
    <n v="22086"/>
    <s v="PAPER CHAIN KIT 50'S CHRISTMAS"/>
    <n v="13"/>
    <x v="225"/>
    <n v="3.07"/>
    <n v="12259"/>
    <x v="1"/>
    <n v="39.909999999999997"/>
    <x v="5"/>
    <n v="2024"/>
    <x v="0"/>
    <s v="New"/>
  </r>
  <r>
    <n v="50228"/>
    <n v="22727"/>
    <s v="ALARM CLOCK BAKELIKE RED"/>
    <n v="2"/>
    <x v="226"/>
    <n v="3.62"/>
    <n v="12127"/>
    <x v="2"/>
    <n v="7.24"/>
    <x v="7"/>
    <n v="2024"/>
    <x v="0"/>
    <s v="New"/>
  </r>
  <r>
    <n v="50229"/>
    <s v="85099B"/>
    <s v="JUMBO BAG RED RETROSPOT"/>
    <n v="13"/>
    <x v="227"/>
    <n v="1.9"/>
    <n v="12708"/>
    <x v="8"/>
    <n v="24.7"/>
    <x v="10"/>
    <n v="2024"/>
    <x v="0"/>
    <s v="Wholesale"/>
  </r>
  <r>
    <n v="50230"/>
    <n v="21212"/>
    <s v="PACK OF 72 RETROSPOT CAKE CASES"/>
    <n v="3"/>
    <x v="228"/>
    <n v="0.48"/>
    <n v="12616"/>
    <x v="5"/>
    <n v="1.44"/>
    <x v="11"/>
    <n v="2024"/>
    <x v="0"/>
    <s v="Returning"/>
  </r>
  <r>
    <n v="50231"/>
    <s v="82494L"/>
    <s v="WOODEN FRAME ANTIQUE WHITE"/>
    <n v="4"/>
    <x v="229"/>
    <n v="3.19"/>
    <n v="12313"/>
    <x v="8"/>
    <n v="12.76"/>
    <x v="7"/>
    <n v="2024"/>
    <x v="0"/>
    <s v="New"/>
  </r>
  <r>
    <n v="50232"/>
    <n v="84991"/>
    <s v="60 TEATIME FAIRY CAKE CASES"/>
    <n v="23"/>
    <x v="230"/>
    <n v="0.55000000000000004"/>
    <n v="12744"/>
    <x v="2"/>
    <n v="12.65"/>
    <x v="9"/>
    <n v="2024"/>
    <x v="0"/>
    <s v="Wholesale"/>
  </r>
  <r>
    <n v="50233"/>
    <n v="84991"/>
    <s v="60 TEATIME FAIRY CAKE CASES"/>
    <n v="21"/>
    <x v="231"/>
    <n v="0.65"/>
    <n v="12076"/>
    <x v="7"/>
    <n v="13.65"/>
    <x v="9"/>
    <n v="2024"/>
    <x v="0"/>
    <s v="Returning"/>
  </r>
  <r>
    <n v="50234"/>
    <n v="21212"/>
    <s v="PACK OF 72 RETROSPOT CAKE CASES"/>
    <n v="1"/>
    <x v="232"/>
    <n v="0.57999999999999996"/>
    <n v="12800"/>
    <x v="8"/>
    <n v="0.57999999999999996"/>
    <x v="11"/>
    <n v="2024"/>
    <x v="0"/>
    <s v="Returning"/>
  </r>
  <r>
    <n v="50235"/>
    <n v="71053"/>
    <s v="WHITE METAL LANTERN"/>
    <n v="8"/>
    <x v="233"/>
    <n v="3.32"/>
    <n v="12392"/>
    <x v="3"/>
    <n v="26.56"/>
    <x v="8"/>
    <n v="2024"/>
    <x v="0"/>
    <s v="Returning"/>
  </r>
  <r>
    <n v="50236"/>
    <n v="71053"/>
    <s v="WHITE METAL LANTERN"/>
    <n v="22"/>
    <x v="234"/>
    <n v="3.32"/>
    <n v="12454"/>
    <x v="6"/>
    <n v="73.039999999999992"/>
    <x v="6"/>
    <n v="2024"/>
    <x v="0"/>
    <s v="Returning"/>
  </r>
  <r>
    <n v="50237"/>
    <s v="84970S"/>
    <s v="HANGING HEART ZINC T-LIGHT HOLDER"/>
    <n v="12"/>
    <x v="235"/>
    <n v="1.35"/>
    <n v="12255"/>
    <x v="6"/>
    <n v="16.200000000000003"/>
    <x v="8"/>
    <n v="2024"/>
    <x v="0"/>
    <s v="Wholesale"/>
  </r>
  <r>
    <n v="50238"/>
    <s v="85123A"/>
    <s v="WHITE HANGING HEART T-LIGHT HOLDER"/>
    <n v="17"/>
    <x v="236"/>
    <n v="2.67"/>
    <n v="12268"/>
    <x v="4"/>
    <n v="45.39"/>
    <x v="2"/>
    <n v="2024"/>
    <x v="0"/>
    <s v="Returning"/>
  </r>
  <r>
    <n v="50239"/>
    <n v="20725"/>
    <s v="LUNCH BAG RED RETROSPOT"/>
    <n v="23"/>
    <x v="237"/>
    <n v="1.69"/>
    <n v="12125"/>
    <x v="5"/>
    <n v="38.869999999999997"/>
    <x v="2"/>
    <n v="2024"/>
    <x v="0"/>
    <s v="New"/>
  </r>
  <r>
    <n v="50240"/>
    <s v="84406B"/>
    <s v="CREAM CUPID HEARTS COAT HANGER"/>
    <n v="23"/>
    <x v="238"/>
    <n v="2.42"/>
    <n v="12698"/>
    <x v="2"/>
    <n v="55.66"/>
    <x v="9"/>
    <n v="2024"/>
    <x v="0"/>
    <s v="Returning"/>
  </r>
  <r>
    <n v="50241"/>
    <n v="21212"/>
    <s v="PACK OF 72 RETROSPOT CAKE CASES"/>
    <n v="18"/>
    <x v="239"/>
    <n v="0.64"/>
    <n v="12871"/>
    <x v="5"/>
    <n v="11.52"/>
    <x v="3"/>
    <n v="2024"/>
    <x v="0"/>
    <s v="New"/>
  </r>
  <r>
    <n v="50242"/>
    <n v="22720"/>
    <s v="SET OF 3 CAKE TINS PANTRY DESIGN"/>
    <n v="8"/>
    <x v="240"/>
    <n v="4.5599999999999996"/>
    <n v="12142"/>
    <x v="9"/>
    <n v="36.479999999999997"/>
    <x v="10"/>
    <n v="2024"/>
    <x v="0"/>
    <s v="Returning"/>
  </r>
  <r>
    <n v="50243"/>
    <n v="23203"/>
    <s v="JUMBO BAG DOILEY PATTERNS"/>
    <n v="18"/>
    <x v="241"/>
    <n v="2.11"/>
    <n v="12564"/>
    <x v="5"/>
    <n v="37.979999999999997"/>
    <x v="0"/>
    <n v="2024"/>
    <x v="0"/>
    <s v="Wholesale"/>
  </r>
  <r>
    <n v="50244"/>
    <n v="84991"/>
    <s v="60 TEATIME FAIRY CAKE CASES"/>
    <n v="10"/>
    <x v="242"/>
    <n v="0.61"/>
    <n v="12490"/>
    <x v="0"/>
    <n v="6.1"/>
    <x v="4"/>
    <n v="2024"/>
    <x v="0"/>
    <s v="Returning"/>
  </r>
  <r>
    <n v="50245"/>
    <s v="85099B"/>
    <s v="JUMBO BAG RED RETROSPOT"/>
    <n v="3"/>
    <x v="243"/>
    <n v="2"/>
    <n v="12075"/>
    <x v="8"/>
    <n v="6"/>
    <x v="10"/>
    <n v="2024"/>
    <x v="0"/>
    <s v="Wholesale"/>
  </r>
  <r>
    <n v="50246"/>
    <n v="20725"/>
    <s v="LUNCH BAG RED RETROSPOT"/>
    <n v="12"/>
    <x v="244"/>
    <n v="1.88"/>
    <n v="12564"/>
    <x v="3"/>
    <n v="22.56"/>
    <x v="3"/>
    <n v="2024"/>
    <x v="0"/>
    <s v="Wholesale"/>
  </r>
  <r>
    <n v="50247"/>
    <n v="22720"/>
    <s v="SET OF 3 CAKE TINS PANTRY DESIGN"/>
    <n v="17"/>
    <x v="245"/>
    <n v="4.3"/>
    <n v="12127"/>
    <x v="0"/>
    <n v="73.099999999999994"/>
    <x v="8"/>
    <n v="2024"/>
    <x v="0"/>
    <s v="New"/>
  </r>
  <r>
    <n v="50248"/>
    <n v="84879"/>
    <s v="ASSORTED COLOUR BIRD ORNAMENT"/>
    <n v="6"/>
    <x v="246"/>
    <n v="1.86"/>
    <n v="12354"/>
    <x v="0"/>
    <n v="11.16"/>
    <x v="5"/>
    <n v="2024"/>
    <x v="0"/>
    <s v="Wholesale"/>
  </r>
  <r>
    <n v="50249"/>
    <n v="22960"/>
    <s v="JAM MAKING SET WITH JARS"/>
    <n v="7"/>
    <x v="247"/>
    <n v="4.43"/>
    <n v="12128"/>
    <x v="4"/>
    <n v="31.009999999999998"/>
    <x v="4"/>
    <n v="2024"/>
    <x v="0"/>
    <s v="Returning"/>
  </r>
  <r>
    <n v="50250"/>
    <n v="84991"/>
    <s v="60 TEATIME FAIRY CAKE CASES"/>
    <n v="17"/>
    <x v="248"/>
    <n v="0.57999999999999996"/>
    <n v="12594"/>
    <x v="5"/>
    <n v="9.86"/>
    <x v="11"/>
    <n v="2024"/>
    <x v="0"/>
    <s v="Wholesale"/>
  </r>
  <r>
    <s v="C50251"/>
    <n v="22720"/>
    <s v="SET OF 3 CAKE TINS PANTRY DESIGN"/>
    <n v="-1"/>
    <x v="249"/>
    <n v="4.3499999999999996"/>
    <n v="12971"/>
    <x v="3"/>
    <n v="-4.3499999999999996"/>
    <x v="3"/>
    <n v="2024"/>
    <x v="1"/>
    <s v="New"/>
  </r>
  <r>
    <n v="50252"/>
    <n v="47566"/>
    <s v="PARTY BUNTING"/>
    <n v="19"/>
    <x v="250"/>
    <n v="5.31"/>
    <n v="12509"/>
    <x v="0"/>
    <n v="100.88999999999999"/>
    <x v="6"/>
    <n v="2024"/>
    <x v="0"/>
    <s v="New"/>
  </r>
  <r>
    <n v="50253"/>
    <n v="22960"/>
    <s v="JAM MAKING SET WITH JARS"/>
    <n v="16"/>
    <x v="251"/>
    <n v="4.8099999999999996"/>
    <n v="12415"/>
    <x v="4"/>
    <n v="76.959999999999994"/>
    <x v="6"/>
    <n v="2024"/>
    <x v="0"/>
    <s v="New"/>
  </r>
  <r>
    <n v="50254"/>
    <n v="20725"/>
    <s v="LUNCH BAG RED RETROSPOT"/>
    <n v="6"/>
    <x v="252"/>
    <n v="1.68"/>
    <n v="12208"/>
    <x v="2"/>
    <n v="10.08"/>
    <x v="4"/>
    <n v="2024"/>
    <x v="0"/>
    <s v="Returning"/>
  </r>
  <r>
    <n v="50255"/>
    <n v="84991"/>
    <s v="60 TEATIME FAIRY CAKE CASES"/>
    <n v="23"/>
    <x v="253"/>
    <n v="0.66"/>
    <n v="12353"/>
    <x v="7"/>
    <n v="15.180000000000001"/>
    <x v="8"/>
    <n v="2024"/>
    <x v="0"/>
    <s v="New"/>
  </r>
  <r>
    <n v="50256"/>
    <n v="84879"/>
    <s v="ASSORTED COLOUR BIRD ORNAMENT"/>
    <n v="18"/>
    <x v="254"/>
    <n v="1.58"/>
    <n v="12125"/>
    <x v="4"/>
    <n v="28.44"/>
    <x v="10"/>
    <n v="2024"/>
    <x v="0"/>
    <s v="New"/>
  </r>
  <r>
    <s v="C50257"/>
    <n v="20725"/>
    <s v="LUNCH BAG RED RETROSPOT"/>
    <n v="-4"/>
    <x v="255"/>
    <n v="1.9"/>
    <n v="12428"/>
    <x v="9"/>
    <n v="-7.6"/>
    <x v="7"/>
    <n v="2024"/>
    <x v="1"/>
    <s v="Returning"/>
  </r>
  <r>
    <n v="50258"/>
    <n v="22720"/>
    <s v="SET OF 3 CAKE TINS PANTRY DESIGN"/>
    <n v="24"/>
    <x v="256"/>
    <n v="5.53"/>
    <n v="12510"/>
    <x v="0"/>
    <n v="132.72"/>
    <x v="5"/>
    <n v="2024"/>
    <x v="0"/>
    <s v="Wholesale"/>
  </r>
  <r>
    <s v="C50259"/>
    <n v="20725"/>
    <s v="LUNCH BAG RED RETROSPOT"/>
    <n v="-7"/>
    <x v="257"/>
    <n v="1.69"/>
    <n v="12989"/>
    <x v="9"/>
    <n v="-11.83"/>
    <x v="11"/>
    <n v="2024"/>
    <x v="1"/>
    <s v="New"/>
  </r>
  <r>
    <s v="C50260"/>
    <n v="22727"/>
    <s v="ALARM CLOCK BAKELIKE RED"/>
    <n v="-2"/>
    <x v="258"/>
    <n v="3.97"/>
    <n v="12863"/>
    <x v="8"/>
    <n v="-7.94"/>
    <x v="1"/>
    <n v="2024"/>
    <x v="1"/>
    <s v="New"/>
  </r>
  <r>
    <n v="50261"/>
    <n v="22960"/>
    <s v="JAM MAKING SET WITH JARS"/>
    <n v="4"/>
    <x v="259"/>
    <n v="4.93"/>
    <n v="12744"/>
    <x v="2"/>
    <n v="19.72"/>
    <x v="1"/>
    <n v="2024"/>
    <x v="0"/>
    <s v="Wholesale"/>
  </r>
  <r>
    <s v="C50262"/>
    <n v="22386"/>
    <s v="JUMBO BAG PINK POLKADOT"/>
    <n v="-4"/>
    <x v="260"/>
    <n v="1.9"/>
    <n v="12295"/>
    <x v="6"/>
    <n v="-7.6"/>
    <x v="10"/>
    <n v="2024"/>
    <x v="1"/>
    <s v="New"/>
  </r>
  <r>
    <n v="50263"/>
    <n v="22386"/>
    <s v="JUMBO BAG PINK POLKADOT"/>
    <n v="18"/>
    <x v="261"/>
    <n v="2.33"/>
    <n v="12696"/>
    <x v="3"/>
    <n v="41.94"/>
    <x v="11"/>
    <n v="2024"/>
    <x v="0"/>
    <s v="Wholesale"/>
  </r>
  <r>
    <n v="50264"/>
    <s v="84029G"/>
    <s v="KNITTED UNION FLAG HOT WATER BOTTLE"/>
    <n v="13"/>
    <x v="262"/>
    <n v="4.05"/>
    <n v="12571"/>
    <x v="2"/>
    <n v="52.65"/>
    <x v="8"/>
    <n v="2024"/>
    <x v="0"/>
    <s v="New"/>
  </r>
  <r>
    <n v="50265"/>
    <n v="84879"/>
    <s v="ASSORTED COLOUR BIRD ORNAMENT"/>
    <n v="13"/>
    <x v="263"/>
    <n v="1.46"/>
    <n v="12140"/>
    <x v="2"/>
    <n v="18.98"/>
    <x v="2"/>
    <n v="2024"/>
    <x v="0"/>
    <s v="Returning"/>
  </r>
  <r>
    <n v="50266"/>
    <n v="23203"/>
    <s v="JUMBO BAG DOILEY PATTERNS"/>
    <n v="5"/>
    <x v="264"/>
    <n v="2.14"/>
    <n v="12335"/>
    <x v="3"/>
    <n v="10.700000000000001"/>
    <x v="11"/>
    <n v="2024"/>
    <x v="0"/>
    <s v="New"/>
  </r>
  <r>
    <n v="50267"/>
    <n v="22086"/>
    <s v="PAPER CHAIN KIT 50'S CHRISTMAS"/>
    <n v="20"/>
    <x v="265"/>
    <n v="2.82"/>
    <n v="12344"/>
    <x v="0"/>
    <n v="56.4"/>
    <x v="8"/>
    <n v="2024"/>
    <x v="0"/>
    <s v="Returning"/>
  </r>
  <r>
    <n v="50268"/>
    <s v="POST"/>
    <s v="POSTAGE"/>
    <n v="23"/>
    <x v="266"/>
    <n v="18.29"/>
    <n v="12017"/>
    <x v="2"/>
    <n v="420.66999999999996"/>
    <x v="11"/>
    <n v="2024"/>
    <x v="0"/>
    <s v="New"/>
  </r>
  <r>
    <n v="50269"/>
    <n v="22086"/>
    <s v="PAPER CHAIN KIT 50'S CHRISTMAS"/>
    <n v="14"/>
    <x v="267"/>
    <n v="3.33"/>
    <n v="12742"/>
    <x v="1"/>
    <n v="46.620000000000005"/>
    <x v="3"/>
    <n v="2024"/>
    <x v="0"/>
    <s v="Returning"/>
  </r>
  <r>
    <n v="50270"/>
    <n v="84991"/>
    <s v="60 TEATIME FAIRY CAKE CASES"/>
    <n v="21"/>
    <x v="268"/>
    <n v="0.62"/>
    <n v="12591"/>
    <x v="9"/>
    <n v="13.02"/>
    <x v="9"/>
    <n v="2024"/>
    <x v="0"/>
    <s v="Wholesale"/>
  </r>
  <r>
    <n v="50271"/>
    <n v="71053"/>
    <s v="WHITE METAL LANTERN"/>
    <n v="6"/>
    <x v="269"/>
    <n v="3.74"/>
    <n v="12793"/>
    <x v="7"/>
    <n v="22.44"/>
    <x v="1"/>
    <n v="2024"/>
    <x v="0"/>
    <s v="New"/>
  </r>
  <r>
    <n v="50272"/>
    <n v="84879"/>
    <s v="ASSORTED COLOUR BIRD ORNAMENT"/>
    <n v="2"/>
    <x v="270"/>
    <n v="1.85"/>
    <n v="12195"/>
    <x v="1"/>
    <n v="3.7"/>
    <x v="3"/>
    <n v="2024"/>
    <x v="0"/>
    <s v="Wholesale"/>
  </r>
  <r>
    <n v="50273"/>
    <n v="20725"/>
    <s v="LUNCH BAG RED RETROSPOT"/>
    <n v="5"/>
    <x v="271"/>
    <n v="1.52"/>
    <n v="12513"/>
    <x v="3"/>
    <n v="7.6"/>
    <x v="5"/>
    <n v="2024"/>
    <x v="0"/>
    <s v="Wholesale"/>
  </r>
  <r>
    <n v="50274"/>
    <n v="23203"/>
    <s v="JUMBO BAG DOILEY PATTERNS"/>
    <n v="17"/>
    <x v="272"/>
    <n v="2"/>
    <n v="12678"/>
    <x v="8"/>
    <n v="34"/>
    <x v="4"/>
    <n v="2024"/>
    <x v="0"/>
    <s v="Wholesale"/>
  </r>
  <r>
    <n v="50275"/>
    <s v="POST"/>
    <s v="POSTAGE"/>
    <n v="6"/>
    <x v="273"/>
    <n v="18.66"/>
    <n v="12559"/>
    <x v="2"/>
    <n v="111.96000000000001"/>
    <x v="10"/>
    <n v="2024"/>
    <x v="0"/>
    <s v="New"/>
  </r>
  <r>
    <n v="50276"/>
    <n v="47566"/>
    <s v="PARTY BUNTING"/>
    <n v="7"/>
    <x v="274"/>
    <n v="4.6900000000000004"/>
    <n v="12305"/>
    <x v="9"/>
    <n v="32.830000000000005"/>
    <x v="6"/>
    <n v="2024"/>
    <x v="0"/>
    <s v="New"/>
  </r>
  <r>
    <n v="50277"/>
    <n v="22960"/>
    <s v="JAM MAKING SET WITH JARS"/>
    <n v="23"/>
    <x v="275"/>
    <n v="4.08"/>
    <n v="12357"/>
    <x v="0"/>
    <n v="93.84"/>
    <x v="7"/>
    <n v="2024"/>
    <x v="0"/>
    <s v="Wholesale"/>
  </r>
  <r>
    <n v="50278"/>
    <n v="47566"/>
    <s v="PARTY BUNTING"/>
    <n v="19"/>
    <x v="276"/>
    <n v="4.87"/>
    <n v="12404"/>
    <x v="2"/>
    <n v="92.53"/>
    <x v="7"/>
    <n v="2024"/>
    <x v="0"/>
    <s v="Returning"/>
  </r>
  <r>
    <n v="50279"/>
    <n v="84879"/>
    <s v="ASSORTED COLOUR BIRD ORNAMENT"/>
    <n v="10"/>
    <x v="277"/>
    <n v="1.48"/>
    <n v="12946"/>
    <x v="8"/>
    <n v="14.8"/>
    <x v="7"/>
    <n v="2024"/>
    <x v="0"/>
    <s v="Returning"/>
  </r>
  <r>
    <n v="50280"/>
    <n v="47566"/>
    <s v="PARTY BUNTING"/>
    <n v="7"/>
    <x v="278"/>
    <n v="4.68"/>
    <n v="12575"/>
    <x v="4"/>
    <n v="32.76"/>
    <x v="11"/>
    <n v="2024"/>
    <x v="0"/>
    <s v="New"/>
  </r>
  <r>
    <n v="50281"/>
    <n v="84879"/>
    <s v="ASSORTED COLOUR BIRD ORNAMENT"/>
    <n v="8"/>
    <x v="279"/>
    <n v="1.83"/>
    <n v="12543"/>
    <x v="9"/>
    <n v="14.64"/>
    <x v="4"/>
    <n v="2024"/>
    <x v="0"/>
    <s v="Wholesale"/>
  </r>
  <r>
    <n v="50282"/>
    <n v="22423"/>
    <s v="REGENCY CAKESTAND 3 TIER"/>
    <n v="14"/>
    <x v="280"/>
    <n v="12.95"/>
    <n v="12697"/>
    <x v="5"/>
    <n v="181.29999999999998"/>
    <x v="0"/>
    <n v="2024"/>
    <x v="0"/>
    <s v="New"/>
  </r>
  <r>
    <n v="50283"/>
    <s v="85123A"/>
    <s v="WHITE HANGING HEART T-LIGHT HOLDER"/>
    <n v="14"/>
    <x v="281"/>
    <n v="2.95"/>
    <n v="12487"/>
    <x v="8"/>
    <n v="41.300000000000004"/>
    <x v="1"/>
    <n v="2024"/>
    <x v="0"/>
    <s v="New"/>
  </r>
  <r>
    <n v="50284"/>
    <n v="22727"/>
    <s v="ALARM CLOCK BAKELIKE RED"/>
    <n v="10"/>
    <x v="282"/>
    <n v="4.38"/>
    <n v="12091"/>
    <x v="3"/>
    <n v="43.8"/>
    <x v="7"/>
    <n v="2024"/>
    <x v="0"/>
    <s v="New"/>
  </r>
  <r>
    <n v="50285"/>
    <n v="22423"/>
    <s v="REGENCY CAKESTAND 3 TIER"/>
    <n v="6"/>
    <x v="283"/>
    <n v="14.58"/>
    <n v="12956"/>
    <x v="1"/>
    <n v="87.48"/>
    <x v="11"/>
    <n v="2024"/>
    <x v="0"/>
    <s v="Returning"/>
  </r>
  <r>
    <n v="50286"/>
    <n v="22386"/>
    <s v="JUMBO BAG PINK POLKADOT"/>
    <n v="24"/>
    <x v="284"/>
    <n v="2.29"/>
    <n v="12897"/>
    <x v="1"/>
    <n v="54.96"/>
    <x v="11"/>
    <n v="2024"/>
    <x v="0"/>
    <s v="Wholesale"/>
  </r>
  <r>
    <n v="50287"/>
    <s v="85123A"/>
    <s v="WHITE HANGING HEART T-LIGHT HOLDER"/>
    <n v="20"/>
    <x v="285"/>
    <n v="3.04"/>
    <n v="12291"/>
    <x v="8"/>
    <n v="60.8"/>
    <x v="5"/>
    <n v="2024"/>
    <x v="0"/>
    <s v="Wholesale"/>
  </r>
  <r>
    <n v="50288"/>
    <s v="82494L"/>
    <s v="WOODEN FRAME ANTIQUE WHITE"/>
    <n v="5"/>
    <x v="286"/>
    <n v="2.99"/>
    <n v="12197"/>
    <x v="6"/>
    <n v="14.950000000000001"/>
    <x v="11"/>
    <n v="2024"/>
    <x v="0"/>
    <s v="New"/>
  </r>
  <r>
    <n v="50289"/>
    <n v="22086"/>
    <s v="PAPER CHAIN KIT 50'S CHRISTMAS"/>
    <n v="21"/>
    <x v="287"/>
    <n v="2.7"/>
    <n v="12754"/>
    <x v="2"/>
    <n v="56.7"/>
    <x v="8"/>
    <n v="2024"/>
    <x v="0"/>
    <s v="Returning"/>
  </r>
  <r>
    <n v="50290"/>
    <n v="22960"/>
    <s v="JAM MAKING SET WITH JARS"/>
    <n v="6"/>
    <x v="288"/>
    <n v="4.5599999999999996"/>
    <n v="12415"/>
    <x v="7"/>
    <n v="27.36"/>
    <x v="1"/>
    <n v="2024"/>
    <x v="0"/>
    <s v="New"/>
  </r>
  <r>
    <n v="50291"/>
    <s v="POST"/>
    <s v="POSTAGE"/>
    <n v="13"/>
    <x v="289"/>
    <n v="16.46"/>
    <n v="12143"/>
    <x v="8"/>
    <n v="213.98000000000002"/>
    <x v="5"/>
    <n v="2024"/>
    <x v="0"/>
    <s v="New"/>
  </r>
  <r>
    <n v="50292"/>
    <n v="22086"/>
    <s v="PAPER CHAIN KIT 50'S CHRISTMAS"/>
    <n v="9"/>
    <x v="290"/>
    <n v="2.97"/>
    <n v="12273"/>
    <x v="2"/>
    <n v="26.73"/>
    <x v="7"/>
    <n v="2024"/>
    <x v="0"/>
    <s v="Wholesale"/>
  </r>
  <r>
    <n v="50293"/>
    <n v="22960"/>
    <s v="JAM MAKING SET WITH JARS"/>
    <n v="1"/>
    <x v="291"/>
    <n v="4.1500000000000004"/>
    <n v="12241"/>
    <x v="1"/>
    <n v="4.1500000000000004"/>
    <x v="1"/>
    <n v="2024"/>
    <x v="0"/>
    <s v="New"/>
  </r>
  <r>
    <n v="50294"/>
    <s v="84029G"/>
    <s v="KNITTED UNION FLAG HOT WATER BOTTLE"/>
    <n v="6"/>
    <x v="292"/>
    <n v="3.48"/>
    <n v="12916"/>
    <x v="4"/>
    <n v="20.88"/>
    <x v="9"/>
    <n v="2024"/>
    <x v="0"/>
    <s v="Returning"/>
  </r>
  <r>
    <n v="50295"/>
    <s v="84029G"/>
    <s v="KNITTED UNION FLAG HOT WATER BOTTLE"/>
    <n v="12"/>
    <x v="293"/>
    <n v="3.14"/>
    <n v="12136"/>
    <x v="8"/>
    <n v="37.68"/>
    <x v="6"/>
    <n v="2024"/>
    <x v="0"/>
    <s v="Returning"/>
  </r>
  <r>
    <n v="50296"/>
    <n v="84879"/>
    <s v="ASSORTED COLOUR BIRD ORNAMENT"/>
    <n v="14"/>
    <x v="294"/>
    <n v="1.98"/>
    <n v="12775"/>
    <x v="0"/>
    <n v="27.72"/>
    <x v="9"/>
    <n v="2024"/>
    <x v="0"/>
    <s v="New"/>
  </r>
  <r>
    <n v="50297"/>
    <n v="22727"/>
    <s v="ALARM CLOCK BAKELIKE RED"/>
    <n v="17"/>
    <x v="295"/>
    <n v="4.1100000000000003"/>
    <n v="12079"/>
    <x v="3"/>
    <n v="69.87"/>
    <x v="7"/>
    <n v="2024"/>
    <x v="0"/>
    <s v="New"/>
  </r>
  <r>
    <n v="50298"/>
    <s v="84029G"/>
    <s v="KNITTED UNION FLAG HOT WATER BOTTLE"/>
    <n v="17"/>
    <x v="296"/>
    <n v="3.52"/>
    <n v="12168"/>
    <x v="2"/>
    <n v="59.84"/>
    <x v="4"/>
    <n v="2024"/>
    <x v="0"/>
    <s v="Wholesale"/>
  </r>
  <r>
    <n v="50299"/>
    <s v="POST"/>
    <s v="POSTAGE"/>
    <n v="22"/>
    <x v="297"/>
    <n v="18.97"/>
    <n v="12093"/>
    <x v="0"/>
    <n v="417.34"/>
    <x v="9"/>
    <n v="2024"/>
    <x v="0"/>
    <s v="Wholesale"/>
  </r>
  <r>
    <n v="50300"/>
    <n v="20725"/>
    <s v="LUNCH BAG RED RETROSPOT"/>
    <n v="5"/>
    <x v="298"/>
    <n v="1.67"/>
    <n v="12059"/>
    <x v="0"/>
    <n v="8.35"/>
    <x v="0"/>
    <n v="2024"/>
    <x v="0"/>
    <s v="New"/>
  </r>
  <r>
    <s v="C50301"/>
    <n v="20725"/>
    <s v="LUNCH BAG RED RETROSPOT"/>
    <n v="-5"/>
    <x v="299"/>
    <n v="1.87"/>
    <n v="12763"/>
    <x v="9"/>
    <n v="-9.3500000000000014"/>
    <x v="3"/>
    <n v="2024"/>
    <x v="1"/>
    <s v="New"/>
  </r>
  <r>
    <n v="50302"/>
    <s v="84970S"/>
    <s v="HANGING HEART ZINC T-LIGHT HOLDER"/>
    <n v="14"/>
    <x v="300"/>
    <n v="1.0900000000000001"/>
    <n v="12061"/>
    <x v="6"/>
    <n v="15.260000000000002"/>
    <x v="4"/>
    <n v="2024"/>
    <x v="0"/>
    <s v="New"/>
  </r>
  <r>
    <n v="50303"/>
    <n v="23203"/>
    <s v="JUMBO BAG DOILEY PATTERNS"/>
    <n v="14"/>
    <x v="301"/>
    <n v="1.87"/>
    <n v="12656"/>
    <x v="7"/>
    <n v="26.18"/>
    <x v="0"/>
    <n v="2024"/>
    <x v="0"/>
    <s v="Returning"/>
  </r>
  <r>
    <n v="50304"/>
    <n v="21212"/>
    <s v="PACK OF 72 RETROSPOT CAKE CASES"/>
    <n v="13"/>
    <x v="302"/>
    <n v="0.6"/>
    <n v="12677"/>
    <x v="0"/>
    <n v="7.8"/>
    <x v="10"/>
    <n v="2024"/>
    <x v="0"/>
    <s v="New"/>
  </r>
  <r>
    <n v="50305"/>
    <n v="84879"/>
    <s v="ASSORTED COLOUR BIRD ORNAMENT"/>
    <n v="4"/>
    <x v="303"/>
    <n v="1.75"/>
    <n v="12541"/>
    <x v="5"/>
    <n v="7"/>
    <x v="6"/>
    <n v="2024"/>
    <x v="0"/>
    <s v="New"/>
  </r>
  <r>
    <n v="50306"/>
    <n v="22423"/>
    <s v="REGENCY CAKESTAND 3 TIER"/>
    <n v="10"/>
    <x v="304"/>
    <n v="14.05"/>
    <n v="12434"/>
    <x v="0"/>
    <n v="140.5"/>
    <x v="0"/>
    <n v="2024"/>
    <x v="0"/>
    <s v="Returning"/>
  </r>
  <r>
    <n v="50307"/>
    <n v="22386"/>
    <s v="JUMBO BAG PINK POLKADOT"/>
    <n v="15"/>
    <x v="305"/>
    <n v="1.85"/>
    <n v="12959"/>
    <x v="6"/>
    <n v="27.75"/>
    <x v="2"/>
    <n v="2024"/>
    <x v="0"/>
    <s v="New"/>
  </r>
  <r>
    <n v="50308"/>
    <n v="71053"/>
    <s v="WHITE METAL LANTERN"/>
    <n v="20"/>
    <x v="306"/>
    <n v="3.93"/>
    <n v="12016"/>
    <x v="9"/>
    <n v="78.600000000000009"/>
    <x v="3"/>
    <n v="2024"/>
    <x v="0"/>
    <s v="Returning"/>
  </r>
  <r>
    <s v="C50309"/>
    <n v="22727"/>
    <s v="ALARM CLOCK BAKELIKE RED"/>
    <n v="-1"/>
    <x v="307"/>
    <n v="3.51"/>
    <n v="12045"/>
    <x v="7"/>
    <n v="-3.51"/>
    <x v="4"/>
    <n v="2024"/>
    <x v="1"/>
    <s v="Wholesale"/>
  </r>
  <r>
    <n v="50310"/>
    <n v="20725"/>
    <s v="LUNCH BAG RED RETROSPOT"/>
    <n v="7"/>
    <x v="308"/>
    <n v="1.85"/>
    <n v="12143"/>
    <x v="0"/>
    <n v="12.950000000000001"/>
    <x v="2"/>
    <n v="2024"/>
    <x v="0"/>
    <s v="New"/>
  </r>
  <r>
    <n v="50311"/>
    <n v="22960"/>
    <s v="JAM MAKING SET WITH JARS"/>
    <n v="11"/>
    <x v="309"/>
    <n v="4.76"/>
    <n v="12838"/>
    <x v="2"/>
    <n v="52.36"/>
    <x v="2"/>
    <n v="2024"/>
    <x v="0"/>
    <s v="Returning"/>
  </r>
  <r>
    <n v="50312"/>
    <n v="22423"/>
    <s v="REGENCY CAKESTAND 3 TIER"/>
    <n v="22"/>
    <x v="310"/>
    <n v="12.68"/>
    <n v="12281"/>
    <x v="1"/>
    <n v="278.95999999999998"/>
    <x v="5"/>
    <n v="2024"/>
    <x v="0"/>
    <s v="New"/>
  </r>
  <r>
    <n v="50313"/>
    <s v="82494L"/>
    <s v="WOODEN FRAME ANTIQUE WHITE"/>
    <n v="21"/>
    <x v="311"/>
    <n v="3.08"/>
    <n v="12048"/>
    <x v="2"/>
    <n v="64.680000000000007"/>
    <x v="1"/>
    <n v="2024"/>
    <x v="0"/>
    <s v="Wholesale"/>
  </r>
  <r>
    <n v="50314"/>
    <n v="22386"/>
    <s v="JUMBO BAG PINK POLKADOT"/>
    <n v="23"/>
    <x v="312"/>
    <n v="1.76"/>
    <n v="12385"/>
    <x v="5"/>
    <n v="40.479999999999997"/>
    <x v="11"/>
    <n v="2024"/>
    <x v="0"/>
    <s v="New"/>
  </r>
  <r>
    <n v="50315"/>
    <s v="82494L"/>
    <s v="WOODEN FRAME ANTIQUE WHITE"/>
    <n v="8"/>
    <x v="313"/>
    <n v="3.24"/>
    <n v="12825"/>
    <x v="8"/>
    <n v="25.92"/>
    <x v="9"/>
    <n v="2024"/>
    <x v="0"/>
    <s v="Wholesale"/>
  </r>
  <r>
    <n v="50316"/>
    <n v="71053"/>
    <s v="WHITE METAL LANTERN"/>
    <n v="14"/>
    <x v="314"/>
    <n v="3.04"/>
    <n v="12248"/>
    <x v="4"/>
    <n v="42.56"/>
    <x v="1"/>
    <n v="2024"/>
    <x v="0"/>
    <s v="Returning"/>
  </r>
  <r>
    <n v="50317"/>
    <n v="22727"/>
    <s v="ALARM CLOCK BAKELIKE RED"/>
    <n v="15"/>
    <x v="315"/>
    <n v="3.31"/>
    <n v="12741"/>
    <x v="9"/>
    <n v="49.65"/>
    <x v="5"/>
    <n v="2024"/>
    <x v="0"/>
    <s v="Wholesale"/>
  </r>
  <r>
    <n v="50318"/>
    <n v="71053"/>
    <s v="WHITE METAL LANTERN"/>
    <n v="22"/>
    <x v="316"/>
    <n v="2.93"/>
    <n v="12074"/>
    <x v="9"/>
    <n v="64.460000000000008"/>
    <x v="7"/>
    <n v="2024"/>
    <x v="0"/>
    <s v="Returning"/>
  </r>
  <r>
    <n v="50319"/>
    <s v="84970S"/>
    <s v="HANGING HEART ZINC T-LIGHT HOLDER"/>
    <n v="7"/>
    <x v="317"/>
    <n v="1.44"/>
    <n v="12340"/>
    <x v="4"/>
    <n v="10.08"/>
    <x v="3"/>
    <n v="2024"/>
    <x v="0"/>
    <s v="Returning"/>
  </r>
  <r>
    <n v="50320"/>
    <s v="85123A"/>
    <s v="WHITE HANGING HEART T-LIGHT HOLDER"/>
    <n v="24"/>
    <x v="318"/>
    <n v="3.06"/>
    <n v="12490"/>
    <x v="9"/>
    <n v="73.44"/>
    <x v="2"/>
    <n v="2024"/>
    <x v="0"/>
    <s v="Returning"/>
  </r>
  <r>
    <n v="50321"/>
    <n v="84991"/>
    <s v="60 TEATIME FAIRY CAKE CASES"/>
    <n v="13"/>
    <x v="319"/>
    <n v="0.56999999999999995"/>
    <n v="12794"/>
    <x v="4"/>
    <n v="7.4099999999999993"/>
    <x v="3"/>
    <n v="2024"/>
    <x v="0"/>
    <s v="Returning"/>
  </r>
  <r>
    <n v="50322"/>
    <n v="22386"/>
    <s v="JUMBO BAG PINK POLKADOT"/>
    <n v="21"/>
    <x v="320"/>
    <n v="1.84"/>
    <n v="12525"/>
    <x v="8"/>
    <n v="38.64"/>
    <x v="9"/>
    <n v="2024"/>
    <x v="0"/>
    <s v="Wholesale"/>
  </r>
  <r>
    <n v="50323"/>
    <n v="20725"/>
    <s v="LUNCH BAG RED RETROSPOT"/>
    <n v="11"/>
    <x v="321"/>
    <n v="1.62"/>
    <n v="12423"/>
    <x v="1"/>
    <n v="17.82"/>
    <x v="4"/>
    <n v="2024"/>
    <x v="0"/>
    <s v="Wholesale"/>
  </r>
  <r>
    <n v="50324"/>
    <s v="84970S"/>
    <s v="HANGING HEART ZINC T-LIGHT HOLDER"/>
    <n v="1"/>
    <x v="322"/>
    <n v="1.47"/>
    <n v="12593"/>
    <x v="7"/>
    <n v="1.47"/>
    <x v="2"/>
    <n v="2024"/>
    <x v="0"/>
    <s v="New"/>
  </r>
  <r>
    <n v="50325"/>
    <n v="22960"/>
    <s v="JAM MAKING SET WITH JARS"/>
    <n v="11"/>
    <x v="323"/>
    <n v="4.46"/>
    <n v="12251"/>
    <x v="8"/>
    <n v="49.06"/>
    <x v="8"/>
    <n v="2024"/>
    <x v="0"/>
    <s v="New"/>
  </r>
  <r>
    <n v="50326"/>
    <s v="82494L"/>
    <s v="WOODEN FRAME ANTIQUE WHITE"/>
    <n v="9"/>
    <x v="324"/>
    <n v="3.01"/>
    <n v="12740"/>
    <x v="8"/>
    <n v="27.089999999999996"/>
    <x v="3"/>
    <n v="2024"/>
    <x v="0"/>
    <s v="Returning"/>
  </r>
  <r>
    <n v="50327"/>
    <n v="20725"/>
    <s v="LUNCH BAG RED RETROSPOT"/>
    <n v="6"/>
    <x v="325"/>
    <n v="1.72"/>
    <n v="12188"/>
    <x v="0"/>
    <n v="10.32"/>
    <x v="8"/>
    <n v="2024"/>
    <x v="0"/>
    <s v="Returning"/>
  </r>
  <r>
    <n v="50328"/>
    <n v="71053"/>
    <s v="WHITE METAL LANTERN"/>
    <n v="3"/>
    <x v="326"/>
    <n v="3.67"/>
    <n v="12782"/>
    <x v="1"/>
    <n v="11.01"/>
    <x v="11"/>
    <n v="2024"/>
    <x v="0"/>
    <s v="Returning"/>
  </r>
  <r>
    <n v="50329"/>
    <s v="85099B"/>
    <s v="JUMBO BAG RED RETROSPOT"/>
    <n v="3"/>
    <x v="327"/>
    <n v="1.77"/>
    <n v="12517"/>
    <x v="8"/>
    <n v="5.3100000000000005"/>
    <x v="8"/>
    <n v="2024"/>
    <x v="0"/>
    <s v="New"/>
  </r>
  <r>
    <n v="50330"/>
    <n v="21212"/>
    <s v="PACK OF 72 RETROSPOT CAKE CASES"/>
    <n v="22"/>
    <x v="328"/>
    <n v="0.47"/>
    <n v="12564"/>
    <x v="7"/>
    <n v="10.34"/>
    <x v="0"/>
    <n v="2024"/>
    <x v="0"/>
    <s v="Wholesale"/>
  </r>
  <r>
    <n v="50331"/>
    <s v="85123A"/>
    <s v="WHITE HANGING HEART T-LIGHT HOLDER"/>
    <n v="24"/>
    <x v="329"/>
    <n v="3.04"/>
    <n v="12017"/>
    <x v="0"/>
    <n v="72.960000000000008"/>
    <x v="0"/>
    <n v="2024"/>
    <x v="0"/>
    <s v="New"/>
  </r>
  <r>
    <n v="50332"/>
    <s v="85099B"/>
    <s v="JUMBO BAG RED RETROSPOT"/>
    <n v="4"/>
    <x v="330"/>
    <n v="1.94"/>
    <n v="12634"/>
    <x v="0"/>
    <n v="7.76"/>
    <x v="2"/>
    <n v="2024"/>
    <x v="0"/>
    <s v="Returning"/>
  </r>
  <r>
    <n v="50333"/>
    <n v="47566"/>
    <s v="PARTY BUNTING"/>
    <n v="13"/>
    <x v="331"/>
    <n v="5.87"/>
    <n v="12470"/>
    <x v="3"/>
    <n v="76.31"/>
    <x v="5"/>
    <n v="2024"/>
    <x v="0"/>
    <s v="Returning"/>
  </r>
  <r>
    <n v="50334"/>
    <n v="22423"/>
    <s v="REGENCY CAKESTAND 3 TIER"/>
    <n v="10"/>
    <x v="332"/>
    <n v="14.62"/>
    <n v="12669"/>
    <x v="1"/>
    <n v="146.19999999999999"/>
    <x v="3"/>
    <n v="2024"/>
    <x v="0"/>
    <s v="Wholesale"/>
  </r>
  <r>
    <n v="50335"/>
    <s v="84406B"/>
    <s v="CREAM CUPID HEARTS COAT HANGER"/>
    <n v="13"/>
    <x v="333"/>
    <n v="2.39"/>
    <n v="12009"/>
    <x v="5"/>
    <n v="31.07"/>
    <x v="10"/>
    <n v="2024"/>
    <x v="0"/>
    <s v="Wholesale"/>
  </r>
  <r>
    <n v="50336"/>
    <s v="84406B"/>
    <s v="CREAM CUPID HEARTS COAT HANGER"/>
    <n v="21"/>
    <x v="334"/>
    <n v="2.88"/>
    <n v="12878"/>
    <x v="6"/>
    <n v="60.48"/>
    <x v="11"/>
    <n v="2024"/>
    <x v="0"/>
    <s v="Returning"/>
  </r>
  <r>
    <n v="50337"/>
    <s v="POST"/>
    <s v="POSTAGE"/>
    <n v="7"/>
    <x v="335"/>
    <n v="19.66"/>
    <n v="12580"/>
    <x v="8"/>
    <n v="137.62"/>
    <x v="0"/>
    <n v="2024"/>
    <x v="0"/>
    <s v="Returning"/>
  </r>
  <r>
    <n v="50338"/>
    <n v="47566"/>
    <s v="PARTY BUNTING"/>
    <n v="22"/>
    <x v="336"/>
    <n v="5.77"/>
    <n v="12577"/>
    <x v="1"/>
    <n v="126.94"/>
    <x v="0"/>
    <n v="2024"/>
    <x v="0"/>
    <s v="New"/>
  </r>
  <r>
    <n v="50339"/>
    <n v="22720"/>
    <s v="SET OF 3 CAKE TINS PANTRY DESIGN"/>
    <n v="7"/>
    <x v="337"/>
    <n v="5.51"/>
    <n v="12729"/>
    <x v="7"/>
    <n v="38.57"/>
    <x v="5"/>
    <n v="2024"/>
    <x v="0"/>
    <s v="Wholesale"/>
  </r>
  <r>
    <n v="50340"/>
    <s v="84406B"/>
    <s v="CREAM CUPID HEARTS COAT HANGER"/>
    <n v="19"/>
    <x v="338"/>
    <n v="3.14"/>
    <n v="12398"/>
    <x v="0"/>
    <n v="59.660000000000004"/>
    <x v="5"/>
    <n v="2024"/>
    <x v="0"/>
    <s v="Returning"/>
  </r>
  <r>
    <n v="50341"/>
    <n v="22086"/>
    <s v="PAPER CHAIN KIT 50'S CHRISTMAS"/>
    <n v="23"/>
    <x v="339"/>
    <n v="3.02"/>
    <n v="12997"/>
    <x v="2"/>
    <n v="69.459999999999994"/>
    <x v="10"/>
    <n v="2024"/>
    <x v="0"/>
    <s v="New"/>
  </r>
  <r>
    <n v="50342"/>
    <n v="71053"/>
    <s v="WHITE METAL LANTERN"/>
    <n v="8"/>
    <x v="340"/>
    <n v="3.29"/>
    <n v="12787"/>
    <x v="3"/>
    <n v="26.32"/>
    <x v="4"/>
    <n v="2024"/>
    <x v="0"/>
    <s v="New"/>
  </r>
  <r>
    <n v="50343"/>
    <n v="84991"/>
    <s v="60 TEATIME FAIRY CAKE CASES"/>
    <n v="1"/>
    <x v="341"/>
    <n v="0.62"/>
    <n v="12461"/>
    <x v="8"/>
    <n v="0.62"/>
    <x v="10"/>
    <n v="2024"/>
    <x v="0"/>
    <s v="New"/>
  </r>
  <r>
    <n v="50344"/>
    <n v="22423"/>
    <s v="REGENCY CAKESTAND 3 TIER"/>
    <n v="13"/>
    <x v="342"/>
    <n v="13.87"/>
    <n v="12676"/>
    <x v="7"/>
    <n v="180.31"/>
    <x v="10"/>
    <n v="2024"/>
    <x v="0"/>
    <s v="Returning"/>
  </r>
  <r>
    <n v="50345"/>
    <s v="84406B"/>
    <s v="CREAM CUPID HEARTS COAT HANGER"/>
    <n v="8"/>
    <x v="343"/>
    <n v="2.42"/>
    <n v="12157"/>
    <x v="7"/>
    <n v="19.36"/>
    <x v="6"/>
    <n v="2024"/>
    <x v="0"/>
    <s v="New"/>
  </r>
  <r>
    <n v="50346"/>
    <n v="84879"/>
    <s v="ASSORTED COLOUR BIRD ORNAMENT"/>
    <n v="12"/>
    <x v="344"/>
    <n v="1.44"/>
    <n v="12315"/>
    <x v="8"/>
    <n v="17.28"/>
    <x v="10"/>
    <n v="2024"/>
    <x v="0"/>
    <s v="Wholesale"/>
  </r>
  <r>
    <n v="50347"/>
    <n v="21212"/>
    <s v="PACK OF 72 RETROSPOT CAKE CASES"/>
    <n v="5"/>
    <x v="345"/>
    <n v="0.55000000000000004"/>
    <n v="12570"/>
    <x v="0"/>
    <n v="2.75"/>
    <x v="7"/>
    <n v="2024"/>
    <x v="0"/>
    <s v="Wholesale"/>
  </r>
  <r>
    <n v="50348"/>
    <s v="POST"/>
    <s v="POSTAGE"/>
    <n v="1"/>
    <x v="346"/>
    <n v="18.79"/>
    <n v="12611"/>
    <x v="3"/>
    <n v="18.79"/>
    <x v="10"/>
    <n v="2024"/>
    <x v="0"/>
    <s v="New"/>
  </r>
  <r>
    <n v="50349"/>
    <n v="22086"/>
    <s v="PAPER CHAIN KIT 50'S CHRISTMAS"/>
    <n v="10"/>
    <x v="347"/>
    <n v="3.31"/>
    <n v="12742"/>
    <x v="0"/>
    <n v="33.1"/>
    <x v="10"/>
    <n v="2024"/>
    <x v="0"/>
    <s v="Returning"/>
  </r>
  <r>
    <n v="50350"/>
    <n v="22423"/>
    <s v="REGENCY CAKESTAND 3 TIER"/>
    <n v="6"/>
    <x v="348"/>
    <n v="11.59"/>
    <n v="12275"/>
    <x v="4"/>
    <n v="69.539999999999992"/>
    <x v="1"/>
    <n v="2024"/>
    <x v="0"/>
    <s v="New"/>
  </r>
  <r>
    <n v="50351"/>
    <n v="47566"/>
    <s v="PARTY BUNTING"/>
    <n v="3"/>
    <x v="349"/>
    <n v="4.6900000000000004"/>
    <n v="12306"/>
    <x v="8"/>
    <n v="14.07"/>
    <x v="11"/>
    <n v="2024"/>
    <x v="0"/>
    <s v="Wholesale"/>
  </r>
  <r>
    <n v="50352"/>
    <s v="84406B"/>
    <s v="CREAM CUPID HEARTS COAT HANGER"/>
    <n v="8"/>
    <x v="350"/>
    <n v="2.81"/>
    <n v="12631"/>
    <x v="9"/>
    <n v="22.48"/>
    <x v="10"/>
    <n v="2024"/>
    <x v="0"/>
    <s v="New"/>
  </r>
  <r>
    <s v="C50353"/>
    <n v="20725"/>
    <s v="LUNCH BAG RED RETROSPOT"/>
    <n v="-7"/>
    <x v="351"/>
    <n v="1.59"/>
    <n v="12635"/>
    <x v="7"/>
    <n v="-11.13"/>
    <x v="4"/>
    <n v="2024"/>
    <x v="1"/>
    <s v="New"/>
  </r>
  <r>
    <n v="50354"/>
    <n v="22086"/>
    <s v="PAPER CHAIN KIT 50'S CHRISTMAS"/>
    <n v="14"/>
    <x v="352"/>
    <n v="3.39"/>
    <n v="12997"/>
    <x v="3"/>
    <n v="47.46"/>
    <x v="9"/>
    <n v="2024"/>
    <x v="0"/>
    <s v="New"/>
  </r>
  <r>
    <n v="50355"/>
    <n v="84879"/>
    <s v="ASSORTED COLOUR BIRD ORNAMENT"/>
    <n v="20"/>
    <x v="353"/>
    <n v="1.56"/>
    <n v="12321"/>
    <x v="5"/>
    <n v="31.200000000000003"/>
    <x v="5"/>
    <n v="2024"/>
    <x v="0"/>
    <s v="Wholesale"/>
  </r>
  <r>
    <n v="50356"/>
    <n v="22386"/>
    <s v="JUMBO BAG PINK POLKADOT"/>
    <n v="24"/>
    <x v="354"/>
    <n v="1.99"/>
    <n v="12589"/>
    <x v="9"/>
    <n v="47.76"/>
    <x v="5"/>
    <n v="2024"/>
    <x v="0"/>
    <s v="New"/>
  </r>
  <r>
    <n v="50357"/>
    <n v="22086"/>
    <s v="PAPER CHAIN KIT 50'S CHRISTMAS"/>
    <n v="13"/>
    <x v="355"/>
    <n v="3.47"/>
    <n v="12204"/>
    <x v="3"/>
    <n v="45.11"/>
    <x v="10"/>
    <n v="2024"/>
    <x v="0"/>
    <s v="Wholesale"/>
  </r>
  <r>
    <n v="50358"/>
    <s v="82494L"/>
    <s v="WOODEN FRAME ANTIQUE WHITE"/>
    <n v="1"/>
    <x v="356"/>
    <n v="2.98"/>
    <n v="12725"/>
    <x v="9"/>
    <n v="2.98"/>
    <x v="2"/>
    <n v="2024"/>
    <x v="0"/>
    <s v="New"/>
  </r>
  <r>
    <n v="50359"/>
    <n v="20725"/>
    <s v="LUNCH BAG RED RETROSPOT"/>
    <n v="14"/>
    <x v="357"/>
    <n v="1.48"/>
    <n v="12310"/>
    <x v="9"/>
    <n v="20.72"/>
    <x v="7"/>
    <n v="2024"/>
    <x v="0"/>
    <s v="Returning"/>
  </r>
  <r>
    <n v="50360"/>
    <n v="47566"/>
    <s v="PARTY BUNTING"/>
    <n v="23"/>
    <x v="358"/>
    <n v="4.8600000000000003"/>
    <n v="12459"/>
    <x v="3"/>
    <n v="111.78"/>
    <x v="3"/>
    <n v="2024"/>
    <x v="0"/>
    <s v="Wholesale"/>
  </r>
  <r>
    <n v="50361"/>
    <n v="23203"/>
    <s v="JUMBO BAG DOILEY PATTERNS"/>
    <n v="18"/>
    <x v="359"/>
    <n v="2.44"/>
    <n v="12708"/>
    <x v="7"/>
    <n v="43.92"/>
    <x v="1"/>
    <n v="2024"/>
    <x v="0"/>
    <s v="Wholesale"/>
  </r>
  <r>
    <n v="50362"/>
    <s v="82494L"/>
    <s v="WOODEN FRAME ANTIQUE WHITE"/>
    <n v="23"/>
    <x v="360"/>
    <n v="3.06"/>
    <n v="12653"/>
    <x v="6"/>
    <n v="70.38"/>
    <x v="0"/>
    <n v="2024"/>
    <x v="0"/>
    <s v="New"/>
  </r>
  <r>
    <n v="50363"/>
    <s v="84029G"/>
    <s v="KNITTED UNION FLAG HOT WATER BOTTLE"/>
    <n v="6"/>
    <x v="361"/>
    <n v="2.93"/>
    <n v="12660"/>
    <x v="7"/>
    <n v="17.580000000000002"/>
    <x v="7"/>
    <n v="2024"/>
    <x v="0"/>
    <s v="Wholesale"/>
  </r>
  <r>
    <n v="50364"/>
    <n v="22086"/>
    <s v="PAPER CHAIN KIT 50'S CHRISTMAS"/>
    <n v="1"/>
    <x v="362"/>
    <n v="2.74"/>
    <n v="12764"/>
    <x v="0"/>
    <n v="2.74"/>
    <x v="9"/>
    <n v="2024"/>
    <x v="0"/>
    <s v="Returning"/>
  </r>
  <r>
    <n v="50365"/>
    <s v="82494L"/>
    <s v="WOODEN FRAME ANTIQUE WHITE"/>
    <n v="8"/>
    <x v="363"/>
    <n v="2.91"/>
    <n v="12790"/>
    <x v="3"/>
    <n v="23.28"/>
    <x v="1"/>
    <n v="2024"/>
    <x v="0"/>
    <s v="Returning"/>
  </r>
  <r>
    <n v="50366"/>
    <s v="POST"/>
    <s v="POSTAGE"/>
    <n v="1"/>
    <x v="364"/>
    <n v="17.16"/>
    <n v="12942"/>
    <x v="6"/>
    <n v="17.16"/>
    <x v="8"/>
    <n v="2024"/>
    <x v="0"/>
    <s v="Wholesale"/>
  </r>
  <r>
    <n v="50367"/>
    <s v="84029G"/>
    <s v="KNITTED UNION FLAG HOT WATER BOTTLE"/>
    <n v="10"/>
    <x v="365"/>
    <n v="3.81"/>
    <n v="12533"/>
    <x v="8"/>
    <n v="38.1"/>
    <x v="8"/>
    <n v="2024"/>
    <x v="0"/>
    <s v="New"/>
  </r>
  <r>
    <n v="50368"/>
    <n v="21212"/>
    <s v="PACK OF 72 RETROSPOT CAKE CASES"/>
    <n v="15"/>
    <x v="366"/>
    <n v="0.55000000000000004"/>
    <n v="12068"/>
    <x v="4"/>
    <n v="8.25"/>
    <x v="9"/>
    <n v="2024"/>
    <x v="0"/>
    <s v="Returning"/>
  </r>
  <r>
    <n v="50369"/>
    <n v="71053"/>
    <s v="WHITE METAL LANTERN"/>
    <n v="1"/>
    <x v="367"/>
    <n v="3.65"/>
    <n v="12693"/>
    <x v="5"/>
    <n v="3.65"/>
    <x v="3"/>
    <n v="2024"/>
    <x v="0"/>
    <s v="Wholesale"/>
  </r>
  <r>
    <n v="50370"/>
    <n v="22423"/>
    <s v="REGENCY CAKESTAND 3 TIER"/>
    <n v="18"/>
    <x v="368"/>
    <n v="13.34"/>
    <n v="12981"/>
    <x v="8"/>
    <n v="240.12"/>
    <x v="11"/>
    <n v="2024"/>
    <x v="0"/>
    <s v="Wholesale"/>
  </r>
  <r>
    <n v="50371"/>
    <n v="22423"/>
    <s v="REGENCY CAKESTAND 3 TIER"/>
    <n v="6"/>
    <x v="369"/>
    <n v="12.77"/>
    <n v="12029"/>
    <x v="3"/>
    <n v="76.62"/>
    <x v="10"/>
    <n v="2024"/>
    <x v="0"/>
    <s v="New"/>
  </r>
  <r>
    <s v="C50372"/>
    <n v="22727"/>
    <s v="ALARM CLOCK BAKELIKE RED"/>
    <n v="-4"/>
    <x v="370"/>
    <n v="3.46"/>
    <n v="12770"/>
    <x v="6"/>
    <n v="-13.84"/>
    <x v="9"/>
    <n v="2024"/>
    <x v="1"/>
    <s v="Returning"/>
  </r>
  <r>
    <n v="50373"/>
    <s v="84970S"/>
    <s v="HANGING HEART ZINC T-LIGHT HOLDER"/>
    <n v="6"/>
    <x v="371"/>
    <n v="1.1499999999999999"/>
    <n v="12116"/>
    <x v="4"/>
    <n v="6.8999999999999995"/>
    <x v="4"/>
    <n v="2024"/>
    <x v="0"/>
    <s v="Returning"/>
  </r>
  <r>
    <n v="50374"/>
    <n v="23203"/>
    <s v="JUMBO BAG DOILEY PATTERNS"/>
    <n v="20"/>
    <x v="372"/>
    <n v="2.0499999999999998"/>
    <n v="12116"/>
    <x v="2"/>
    <n v="41"/>
    <x v="11"/>
    <n v="2024"/>
    <x v="0"/>
    <s v="Returning"/>
  </r>
  <r>
    <n v="50375"/>
    <n v="21212"/>
    <s v="PACK OF 72 RETROSPOT CAKE CASES"/>
    <n v="22"/>
    <x v="373"/>
    <n v="0.52"/>
    <n v="12629"/>
    <x v="3"/>
    <n v="11.440000000000001"/>
    <x v="9"/>
    <n v="2024"/>
    <x v="0"/>
    <s v="New"/>
  </r>
  <r>
    <n v="50376"/>
    <s v="84406B"/>
    <s v="CREAM CUPID HEARTS COAT HANGER"/>
    <n v="11"/>
    <x v="374"/>
    <n v="2.63"/>
    <n v="12187"/>
    <x v="2"/>
    <n v="28.93"/>
    <x v="3"/>
    <n v="2024"/>
    <x v="0"/>
    <s v="New"/>
  </r>
  <r>
    <n v="50377"/>
    <n v="84879"/>
    <s v="ASSORTED COLOUR BIRD ORNAMENT"/>
    <n v="14"/>
    <x v="375"/>
    <n v="1.78"/>
    <n v="12433"/>
    <x v="5"/>
    <n v="24.92"/>
    <x v="11"/>
    <n v="2024"/>
    <x v="0"/>
    <s v="New"/>
  </r>
  <r>
    <n v="50378"/>
    <n v="23203"/>
    <s v="JUMBO BAG DOILEY PATTERNS"/>
    <n v="23"/>
    <x v="376"/>
    <n v="2.4500000000000002"/>
    <n v="12177"/>
    <x v="0"/>
    <n v="56.35"/>
    <x v="6"/>
    <n v="2024"/>
    <x v="0"/>
    <s v="Wholesale"/>
  </r>
  <r>
    <n v="50379"/>
    <n v="22720"/>
    <s v="SET OF 3 CAKE TINS PANTRY DESIGN"/>
    <n v="5"/>
    <x v="377"/>
    <n v="5.67"/>
    <n v="12634"/>
    <x v="1"/>
    <n v="28.35"/>
    <x v="11"/>
    <n v="2024"/>
    <x v="0"/>
    <s v="Returning"/>
  </r>
  <r>
    <n v="50380"/>
    <n v="21212"/>
    <s v="PACK OF 72 RETROSPOT CAKE CASES"/>
    <n v="5"/>
    <x v="378"/>
    <n v="0.54"/>
    <n v="12575"/>
    <x v="0"/>
    <n v="2.7"/>
    <x v="0"/>
    <n v="2024"/>
    <x v="0"/>
    <s v="New"/>
  </r>
  <r>
    <n v="50381"/>
    <n v="23203"/>
    <s v="JUMBO BAG DOILEY PATTERNS"/>
    <n v="14"/>
    <x v="379"/>
    <n v="2.09"/>
    <n v="12171"/>
    <x v="6"/>
    <n v="29.259999999999998"/>
    <x v="10"/>
    <n v="2024"/>
    <x v="0"/>
    <s v="Wholesale"/>
  </r>
  <r>
    <s v="C50382"/>
    <s v="84970S"/>
    <s v="HANGING HEART ZINC T-LIGHT HOLDER"/>
    <n v="-4"/>
    <x v="380"/>
    <n v="1.3"/>
    <n v="12172"/>
    <x v="8"/>
    <n v="-5.2"/>
    <x v="0"/>
    <n v="2024"/>
    <x v="1"/>
    <s v="Returning"/>
  </r>
  <r>
    <n v="50383"/>
    <s v="84970S"/>
    <s v="HANGING HEART ZINC T-LIGHT HOLDER"/>
    <n v="17"/>
    <x v="381"/>
    <n v="1.1100000000000001"/>
    <n v="12793"/>
    <x v="0"/>
    <n v="18.87"/>
    <x v="11"/>
    <n v="2024"/>
    <x v="0"/>
    <s v="New"/>
  </r>
  <r>
    <n v="50384"/>
    <n v="21212"/>
    <s v="PACK OF 72 RETROSPOT CAKE CASES"/>
    <n v="24"/>
    <x v="382"/>
    <n v="0.51"/>
    <n v="12435"/>
    <x v="6"/>
    <n v="12.24"/>
    <x v="1"/>
    <n v="2024"/>
    <x v="0"/>
    <s v="Wholesale"/>
  </r>
  <r>
    <n v="50385"/>
    <n v="22423"/>
    <s v="REGENCY CAKESTAND 3 TIER"/>
    <n v="15"/>
    <x v="383"/>
    <n v="14.69"/>
    <n v="12089"/>
    <x v="8"/>
    <n v="220.35"/>
    <x v="5"/>
    <n v="2024"/>
    <x v="0"/>
    <s v="New"/>
  </r>
  <r>
    <n v="50386"/>
    <s v="84029G"/>
    <s v="KNITTED UNION FLAG HOT WATER BOTTLE"/>
    <n v="24"/>
    <x v="384"/>
    <n v="3.3"/>
    <n v="12727"/>
    <x v="3"/>
    <n v="79.199999999999989"/>
    <x v="7"/>
    <n v="2024"/>
    <x v="0"/>
    <s v="New"/>
  </r>
  <r>
    <n v="50387"/>
    <s v="85099B"/>
    <s v="JUMBO BAG RED RETROSPOT"/>
    <n v="7"/>
    <x v="385"/>
    <n v="2.35"/>
    <n v="12583"/>
    <x v="2"/>
    <n v="16.45"/>
    <x v="8"/>
    <n v="2024"/>
    <x v="0"/>
    <s v="New"/>
  </r>
  <r>
    <n v="50388"/>
    <s v="82494L"/>
    <s v="WOODEN FRAME ANTIQUE WHITE"/>
    <n v="6"/>
    <x v="386"/>
    <n v="3.23"/>
    <n v="12296"/>
    <x v="3"/>
    <n v="19.38"/>
    <x v="7"/>
    <n v="2024"/>
    <x v="0"/>
    <s v="Returning"/>
  </r>
  <r>
    <n v="50389"/>
    <n v="47566"/>
    <s v="PARTY BUNTING"/>
    <n v="5"/>
    <x v="387"/>
    <n v="5.57"/>
    <n v="12940"/>
    <x v="1"/>
    <n v="27.85"/>
    <x v="11"/>
    <n v="2024"/>
    <x v="0"/>
    <s v="Returning"/>
  </r>
  <r>
    <n v="50390"/>
    <n v="47566"/>
    <s v="PARTY BUNTING"/>
    <n v="23"/>
    <x v="388"/>
    <n v="4.6399999999999997"/>
    <n v="12728"/>
    <x v="2"/>
    <n v="106.72"/>
    <x v="3"/>
    <n v="2024"/>
    <x v="0"/>
    <s v="Returning"/>
  </r>
  <r>
    <n v="50391"/>
    <n v="22423"/>
    <s v="REGENCY CAKESTAND 3 TIER"/>
    <n v="16"/>
    <x v="389"/>
    <n v="13.66"/>
    <n v="12642"/>
    <x v="7"/>
    <n v="218.56"/>
    <x v="3"/>
    <n v="2024"/>
    <x v="0"/>
    <s v="Wholesale"/>
  </r>
  <r>
    <n v="50392"/>
    <n v="22386"/>
    <s v="JUMBO BAG PINK POLKADOT"/>
    <n v="21"/>
    <x v="390"/>
    <n v="2.1800000000000002"/>
    <n v="12412"/>
    <x v="0"/>
    <n v="45.78"/>
    <x v="9"/>
    <n v="2024"/>
    <x v="0"/>
    <s v="Returning"/>
  </r>
  <r>
    <n v="50393"/>
    <n v="47566"/>
    <s v="PARTY BUNTING"/>
    <n v="15"/>
    <x v="391"/>
    <n v="4.7699999999999996"/>
    <n v="12002"/>
    <x v="6"/>
    <n v="71.55"/>
    <x v="3"/>
    <n v="2024"/>
    <x v="0"/>
    <s v="Returning"/>
  </r>
  <r>
    <n v="50394"/>
    <n v="20725"/>
    <s v="LUNCH BAG RED RETROSPOT"/>
    <n v="3"/>
    <x v="392"/>
    <n v="1.63"/>
    <n v="12991"/>
    <x v="7"/>
    <n v="4.8899999999999997"/>
    <x v="6"/>
    <n v="2024"/>
    <x v="0"/>
    <s v="New"/>
  </r>
  <r>
    <n v="50395"/>
    <n v="22727"/>
    <s v="ALARM CLOCK BAKELIKE RED"/>
    <n v="11"/>
    <x v="393"/>
    <n v="3.63"/>
    <n v="12591"/>
    <x v="5"/>
    <n v="39.93"/>
    <x v="11"/>
    <n v="2024"/>
    <x v="0"/>
    <s v="Wholesale"/>
  </r>
  <r>
    <n v="50396"/>
    <s v="84970S"/>
    <s v="HANGING HEART ZINC T-LIGHT HOLDER"/>
    <n v="22"/>
    <x v="394"/>
    <n v="1.08"/>
    <n v="12641"/>
    <x v="8"/>
    <n v="23.76"/>
    <x v="11"/>
    <n v="2024"/>
    <x v="0"/>
    <s v="New"/>
  </r>
  <r>
    <n v="50397"/>
    <s v="85123A"/>
    <s v="WHITE HANGING HEART T-LIGHT HOLDER"/>
    <n v="15"/>
    <x v="395"/>
    <n v="3.05"/>
    <n v="12438"/>
    <x v="9"/>
    <n v="45.75"/>
    <x v="8"/>
    <n v="2024"/>
    <x v="0"/>
    <s v="Wholesale"/>
  </r>
  <r>
    <n v="50398"/>
    <n v="84879"/>
    <s v="ASSORTED COLOUR BIRD ORNAMENT"/>
    <n v="6"/>
    <x v="396"/>
    <n v="1.96"/>
    <n v="12095"/>
    <x v="2"/>
    <n v="11.76"/>
    <x v="6"/>
    <n v="2024"/>
    <x v="0"/>
    <s v="New"/>
  </r>
  <r>
    <n v="50399"/>
    <n v="47566"/>
    <s v="PARTY BUNTING"/>
    <n v="22"/>
    <x v="397"/>
    <n v="4.49"/>
    <n v="12405"/>
    <x v="4"/>
    <n v="98.78"/>
    <x v="4"/>
    <n v="2024"/>
    <x v="0"/>
    <s v="Wholesale"/>
  </r>
  <r>
    <n v="50400"/>
    <n v="22423"/>
    <s v="REGENCY CAKESTAND 3 TIER"/>
    <n v="23"/>
    <x v="398"/>
    <n v="11.79"/>
    <n v="12079"/>
    <x v="5"/>
    <n v="271.16999999999996"/>
    <x v="9"/>
    <n v="2024"/>
    <x v="0"/>
    <s v="New"/>
  </r>
  <r>
    <n v="50401"/>
    <s v="84970S"/>
    <s v="HANGING HEART ZINC T-LIGHT HOLDER"/>
    <n v="22"/>
    <x v="399"/>
    <n v="1.07"/>
    <n v="12351"/>
    <x v="6"/>
    <n v="23.540000000000003"/>
    <x v="2"/>
    <n v="2024"/>
    <x v="0"/>
    <s v="Wholesale"/>
  </r>
  <r>
    <n v="50402"/>
    <s v="85099B"/>
    <s v="JUMBO BAG RED RETROSPOT"/>
    <n v="16"/>
    <x v="400"/>
    <n v="2.0499999999999998"/>
    <n v="12748"/>
    <x v="6"/>
    <n v="32.799999999999997"/>
    <x v="3"/>
    <n v="2024"/>
    <x v="0"/>
    <s v="Returning"/>
  </r>
  <r>
    <n v="50403"/>
    <s v="84029G"/>
    <s v="KNITTED UNION FLAG HOT WATER BOTTLE"/>
    <n v="10"/>
    <x v="401"/>
    <n v="3.8"/>
    <n v="12771"/>
    <x v="5"/>
    <n v="38"/>
    <x v="5"/>
    <n v="2024"/>
    <x v="0"/>
    <s v="Wholesale"/>
  </r>
  <r>
    <s v="C50404"/>
    <n v="84879"/>
    <s v="ASSORTED COLOUR BIRD ORNAMENT"/>
    <n v="-3"/>
    <x v="402"/>
    <n v="1.7"/>
    <n v="12739"/>
    <x v="9"/>
    <n v="-5.0999999999999996"/>
    <x v="4"/>
    <n v="2024"/>
    <x v="1"/>
    <s v="New"/>
  </r>
  <r>
    <n v="50405"/>
    <n v="84879"/>
    <s v="ASSORTED COLOUR BIRD ORNAMENT"/>
    <n v="7"/>
    <x v="403"/>
    <n v="1.5"/>
    <n v="12770"/>
    <x v="6"/>
    <n v="10.5"/>
    <x v="10"/>
    <n v="2024"/>
    <x v="0"/>
    <s v="Returning"/>
  </r>
  <r>
    <n v="50406"/>
    <s v="84970S"/>
    <s v="HANGING HEART ZINC T-LIGHT HOLDER"/>
    <n v="14"/>
    <x v="404"/>
    <n v="1.1200000000000001"/>
    <n v="12283"/>
    <x v="6"/>
    <n v="15.680000000000001"/>
    <x v="10"/>
    <n v="2024"/>
    <x v="0"/>
    <s v="New"/>
  </r>
  <r>
    <s v="C50407"/>
    <n v="22423"/>
    <s v="REGENCY CAKESTAND 3 TIER"/>
    <n v="-5"/>
    <x v="405"/>
    <n v="11.75"/>
    <n v="12621"/>
    <x v="0"/>
    <n v="-58.75"/>
    <x v="1"/>
    <n v="2024"/>
    <x v="1"/>
    <s v="Wholesale"/>
  </r>
  <r>
    <s v="C50408"/>
    <n v="22727"/>
    <s v="ALARM CLOCK BAKELIKE RED"/>
    <n v="-4"/>
    <x v="406"/>
    <n v="3.84"/>
    <n v="12115"/>
    <x v="9"/>
    <n v="-15.36"/>
    <x v="10"/>
    <n v="2024"/>
    <x v="1"/>
    <s v="New"/>
  </r>
  <r>
    <n v="50409"/>
    <n v="23203"/>
    <s v="JUMBO BAG DOILEY PATTERNS"/>
    <n v="17"/>
    <x v="407"/>
    <n v="1.78"/>
    <n v="12369"/>
    <x v="2"/>
    <n v="30.26"/>
    <x v="6"/>
    <n v="2024"/>
    <x v="0"/>
    <s v="Wholesale"/>
  </r>
  <r>
    <n v="50410"/>
    <n v="84879"/>
    <s v="ASSORTED COLOUR BIRD ORNAMENT"/>
    <n v="14"/>
    <x v="408"/>
    <n v="1.84"/>
    <n v="12781"/>
    <x v="8"/>
    <n v="25.76"/>
    <x v="10"/>
    <n v="2024"/>
    <x v="0"/>
    <s v="New"/>
  </r>
  <r>
    <n v="50411"/>
    <s v="84406B"/>
    <s v="CREAM CUPID HEARTS COAT HANGER"/>
    <n v="1"/>
    <x v="409"/>
    <n v="2.38"/>
    <n v="12061"/>
    <x v="7"/>
    <n v="2.38"/>
    <x v="0"/>
    <n v="2024"/>
    <x v="0"/>
    <s v="New"/>
  </r>
  <r>
    <n v="50412"/>
    <s v="POST"/>
    <s v="POSTAGE"/>
    <n v="14"/>
    <x v="410"/>
    <n v="17.829999999999998"/>
    <n v="12655"/>
    <x v="0"/>
    <n v="249.61999999999998"/>
    <x v="7"/>
    <n v="2024"/>
    <x v="0"/>
    <s v="New"/>
  </r>
  <r>
    <n v="50413"/>
    <s v="82494L"/>
    <s v="WOODEN FRAME ANTIQUE WHITE"/>
    <n v="9"/>
    <x v="411"/>
    <n v="2.59"/>
    <n v="12943"/>
    <x v="9"/>
    <n v="23.31"/>
    <x v="6"/>
    <n v="2024"/>
    <x v="0"/>
    <s v="New"/>
  </r>
  <r>
    <n v="50414"/>
    <n v="84879"/>
    <s v="ASSORTED COLOUR BIRD ORNAMENT"/>
    <n v="13"/>
    <x v="412"/>
    <n v="1.89"/>
    <n v="12665"/>
    <x v="6"/>
    <n v="24.57"/>
    <x v="1"/>
    <n v="2024"/>
    <x v="0"/>
    <s v="New"/>
  </r>
  <r>
    <n v="50415"/>
    <n v="22960"/>
    <s v="JAM MAKING SET WITH JARS"/>
    <n v="24"/>
    <x v="413"/>
    <n v="3.97"/>
    <n v="12250"/>
    <x v="6"/>
    <n v="95.28"/>
    <x v="3"/>
    <n v="2024"/>
    <x v="0"/>
    <s v="Returning"/>
  </r>
  <r>
    <n v="50416"/>
    <s v="85099B"/>
    <s v="JUMBO BAG RED RETROSPOT"/>
    <n v="20"/>
    <x v="414"/>
    <n v="1.99"/>
    <n v="12759"/>
    <x v="5"/>
    <n v="39.799999999999997"/>
    <x v="4"/>
    <n v="2024"/>
    <x v="0"/>
    <s v="Wholesale"/>
  </r>
  <r>
    <s v="C50417"/>
    <s v="84029G"/>
    <s v="KNITTED UNION FLAG HOT WATER BOTTLE"/>
    <n v="-8"/>
    <x v="415"/>
    <n v="4.01"/>
    <n v="12535"/>
    <x v="0"/>
    <n v="-32.08"/>
    <x v="0"/>
    <n v="2024"/>
    <x v="1"/>
    <s v="New"/>
  </r>
  <r>
    <n v="50418"/>
    <n v="47566"/>
    <s v="PARTY BUNTING"/>
    <n v="5"/>
    <x v="416"/>
    <n v="5.72"/>
    <n v="12750"/>
    <x v="6"/>
    <n v="28.599999999999998"/>
    <x v="8"/>
    <n v="2024"/>
    <x v="0"/>
    <s v="Wholesale"/>
  </r>
  <r>
    <n v="50419"/>
    <s v="85123A"/>
    <s v="WHITE HANGING HEART T-LIGHT HOLDER"/>
    <n v="9"/>
    <x v="417"/>
    <n v="2.4"/>
    <n v="12998"/>
    <x v="3"/>
    <n v="21.599999999999998"/>
    <x v="5"/>
    <n v="2024"/>
    <x v="0"/>
    <s v="Returning"/>
  </r>
  <r>
    <n v="50420"/>
    <s v="84406B"/>
    <s v="CREAM CUPID HEARTS COAT HANGER"/>
    <n v="17"/>
    <x v="418"/>
    <n v="2.82"/>
    <n v="12580"/>
    <x v="5"/>
    <n v="47.94"/>
    <x v="11"/>
    <n v="2024"/>
    <x v="0"/>
    <s v="Returning"/>
  </r>
  <r>
    <n v="50421"/>
    <n v="21212"/>
    <s v="PACK OF 72 RETROSPOT CAKE CASES"/>
    <n v="4"/>
    <x v="419"/>
    <n v="0.6"/>
    <n v="12118"/>
    <x v="9"/>
    <n v="2.4"/>
    <x v="8"/>
    <n v="2024"/>
    <x v="0"/>
    <s v="Returning"/>
  </r>
  <r>
    <n v="50422"/>
    <s v="POST"/>
    <s v="POSTAGE"/>
    <n v="1"/>
    <x v="420"/>
    <n v="18.27"/>
    <n v="12392"/>
    <x v="5"/>
    <n v="18.27"/>
    <x v="0"/>
    <n v="2024"/>
    <x v="0"/>
    <s v="Returning"/>
  </r>
  <r>
    <n v="50423"/>
    <n v="22720"/>
    <s v="SET OF 3 CAKE TINS PANTRY DESIGN"/>
    <n v="23"/>
    <x v="421"/>
    <n v="4.93"/>
    <n v="12329"/>
    <x v="9"/>
    <n v="113.38999999999999"/>
    <x v="0"/>
    <n v="2024"/>
    <x v="0"/>
    <s v="New"/>
  </r>
  <r>
    <n v="50424"/>
    <s v="85099B"/>
    <s v="JUMBO BAG RED RETROSPOT"/>
    <n v="3"/>
    <x v="422"/>
    <n v="1.85"/>
    <n v="12689"/>
    <x v="1"/>
    <n v="5.5500000000000007"/>
    <x v="5"/>
    <n v="2024"/>
    <x v="0"/>
    <s v="New"/>
  </r>
  <r>
    <n v="50425"/>
    <n v="22720"/>
    <s v="SET OF 3 CAKE TINS PANTRY DESIGN"/>
    <n v="2"/>
    <x v="423"/>
    <n v="4.33"/>
    <n v="12476"/>
    <x v="4"/>
    <n v="8.66"/>
    <x v="2"/>
    <n v="2024"/>
    <x v="0"/>
    <s v="Returning"/>
  </r>
  <r>
    <n v="50426"/>
    <n v="22960"/>
    <s v="JAM MAKING SET WITH JARS"/>
    <n v="18"/>
    <x v="289"/>
    <n v="4.16"/>
    <n v="12298"/>
    <x v="3"/>
    <n v="74.88"/>
    <x v="5"/>
    <n v="2024"/>
    <x v="0"/>
    <s v="Returning"/>
  </r>
  <r>
    <n v="50427"/>
    <n v="22960"/>
    <s v="JAM MAKING SET WITH JARS"/>
    <n v="15"/>
    <x v="424"/>
    <n v="5.0599999999999996"/>
    <n v="12791"/>
    <x v="9"/>
    <n v="75.899999999999991"/>
    <x v="6"/>
    <n v="2024"/>
    <x v="0"/>
    <s v="New"/>
  </r>
  <r>
    <n v="50428"/>
    <s v="82494L"/>
    <s v="WOODEN FRAME ANTIQUE WHITE"/>
    <n v="1"/>
    <x v="425"/>
    <n v="2.5299999999999998"/>
    <n v="12554"/>
    <x v="2"/>
    <n v="2.5299999999999998"/>
    <x v="7"/>
    <n v="2024"/>
    <x v="0"/>
    <s v="Returning"/>
  </r>
  <r>
    <n v="50429"/>
    <s v="85123A"/>
    <s v="WHITE HANGING HEART T-LIGHT HOLDER"/>
    <n v="22"/>
    <x v="426"/>
    <n v="2.83"/>
    <n v="12314"/>
    <x v="6"/>
    <n v="62.260000000000005"/>
    <x v="5"/>
    <n v="2024"/>
    <x v="0"/>
    <s v="Returning"/>
  </r>
  <r>
    <n v="50430"/>
    <n v="22727"/>
    <s v="ALARM CLOCK BAKELIKE RED"/>
    <n v="14"/>
    <x v="427"/>
    <n v="3.27"/>
    <n v="12145"/>
    <x v="4"/>
    <n v="45.78"/>
    <x v="11"/>
    <n v="2024"/>
    <x v="0"/>
    <s v="New"/>
  </r>
  <r>
    <n v="50431"/>
    <s v="84406B"/>
    <s v="CREAM CUPID HEARTS COAT HANGER"/>
    <n v="17"/>
    <x v="428"/>
    <n v="3.2"/>
    <n v="12469"/>
    <x v="6"/>
    <n v="54.400000000000006"/>
    <x v="0"/>
    <n v="2024"/>
    <x v="0"/>
    <s v="New"/>
  </r>
  <r>
    <n v="50432"/>
    <s v="84970S"/>
    <s v="HANGING HEART ZINC T-LIGHT HOLDER"/>
    <n v="5"/>
    <x v="429"/>
    <n v="1.24"/>
    <n v="12606"/>
    <x v="3"/>
    <n v="6.2"/>
    <x v="4"/>
    <n v="2024"/>
    <x v="0"/>
    <s v="Wholesale"/>
  </r>
  <r>
    <n v="50433"/>
    <n v="71053"/>
    <s v="WHITE METAL LANTERN"/>
    <n v="8"/>
    <x v="430"/>
    <n v="3.89"/>
    <n v="12948"/>
    <x v="7"/>
    <n v="31.12"/>
    <x v="9"/>
    <n v="2024"/>
    <x v="0"/>
    <s v="Wholesale"/>
  </r>
  <r>
    <n v="50434"/>
    <n v="22086"/>
    <s v="PAPER CHAIN KIT 50'S CHRISTMAS"/>
    <n v="9"/>
    <x v="431"/>
    <n v="3.48"/>
    <n v="12139"/>
    <x v="3"/>
    <n v="31.32"/>
    <x v="5"/>
    <n v="2024"/>
    <x v="0"/>
    <s v="New"/>
  </r>
  <r>
    <n v="50435"/>
    <s v="84029G"/>
    <s v="KNITTED UNION FLAG HOT WATER BOTTLE"/>
    <n v="6"/>
    <x v="432"/>
    <n v="3.25"/>
    <n v="12123"/>
    <x v="0"/>
    <n v="19.5"/>
    <x v="8"/>
    <n v="2024"/>
    <x v="0"/>
    <s v="Wholesale"/>
  </r>
  <r>
    <n v="50436"/>
    <n v="21212"/>
    <s v="PACK OF 72 RETROSPOT CAKE CASES"/>
    <n v="10"/>
    <x v="433"/>
    <n v="0.63"/>
    <n v="12092"/>
    <x v="5"/>
    <n v="6.3"/>
    <x v="2"/>
    <n v="2024"/>
    <x v="0"/>
    <s v="Returning"/>
  </r>
  <r>
    <n v="50437"/>
    <n v="22960"/>
    <s v="JAM MAKING SET WITH JARS"/>
    <n v="7"/>
    <x v="434"/>
    <n v="4.0999999999999996"/>
    <n v="12093"/>
    <x v="9"/>
    <n v="28.699999999999996"/>
    <x v="3"/>
    <n v="2024"/>
    <x v="0"/>
    <s v="Wholesale"/>
  </r>
  <r>
    <n v="50438"/>
    <n v="21212"/>
    <s v="PACK OF 72 RETROSPOT CAKE CASES"/>
    <n v="2"/>
    <x v="435"/>
    <n v="0.52"/>
    <n v="12178"/>
    <x v="1"/>
    <n v="1.04"/>
    <x v="10"/>
    <n v="2024"/>
    <x v="0"/>
    <s v="Returning"/>
  </r>
  <r>
    <n v="50439"/>
    <n v="22386"/>
    <s v="JUMBO BAG PINK POLKADOT"/>
    <n v="24"/>
    <x v="436"/>
    <n v="1.72"/>
    <n v="12104"/>
    <x v="5"/>
    <n v="41.28"/>
    <x v="9"/>
    <n v="2024"/>
    <x v="0"/>
    <s v="Returning"/>
  </r>
  <r>
    <n v="50440"/>
    <s v="84029G"/>
    <s v="KNITTED UNION FLAG HOT WATER BOTTLE"/>
    <n v="8"/>
    <x v="437"/>
    <n v="3.86"/>
    <n v="12381"/>
    <x v="6"/>
    <n v="30.88"/>
    <x v="0"/>
    <n v="2024"/>
    <x v="0"/>
    <s v="Wholesale"/>
  </r>
  <r>
    <s v="C50441"/>
    <s v="84970S"/>
    <s v="HANGING HEART ZINC T-LIGHT HOLDER"/>
    <n v="-1"/>
    <x v="438"/>
    <n v="1.1499999999999999"/>
    <n v="12661"/>
    <x v="8"/>
    <n v="-1.1499999999999999"/>
    <x v="1"/>
    <n v="2024"/>
    <x v="1"/>
    <s v="New"/>
  </r>
  <r>
    <s v="C50442"/>
    <n v="84879"/>
    <s v="ASSORTED COLOUR BIRD ORNAMENT"/>
    <n v="-4"/>
    <x v="439"/>
    <n v="1.47"/>
    <n v="12946"/>
    <x v="3"/>
    <n v="-5.88"/>
    <x v="4"/>
    <n v="2024"/>
    <x v="1"/>
    <s v="Returning"/>
  </r>
  <r>
    <n v="50443"/>
    <s v="85099B"/>
    <s v="JUMBO BAG RED RETROSPOT"/>
    <n v="1"/>
    <x v="440"/>
    <n v="2.08"/>
    <n v="12362"/>
    <x v="9"/>
    <n v="2.08"/>
    <x v="10"/>
    <n v="2024"/>
    <x v="0"/>
    <s v="Returning"/>
  </r>
  <r>
    <n v="50444"/>
    <n v="22720"/>
    <s v="SET OF 3 CAKE TINS PANTRY DESIGN"/>
    <n v="15"/>
    <x v="441"/>
    <n v="4.2699999999999996"/>
    <n v="12634"/>
    <x v="3"/>
    <n v="64.05"/>
    <x v="7"/>
    <n v="2024"/>
    <x v="0"/>
    <s v="Returning"/>
  </r>
  <r>
    <n v="50445"/>
    <n v="22423"/>
    <s v="REGENCY CAKESTAND 3 TIER"/>
    <n v="16"/>
    <x v="442"/>
    <n v="13.29"/>
    <n v="12062"/>
    <x v="6"/>
    <n v="212.64"/>
    <x v="6"/>
    <n v="2024"/>
    <x v="0"/>
    <s v="Returning"/>
  </r>
  <r>
    <n v="50446"/>
    <n v="47566"/>
    <s v="PARTY BUNTING"/>
    <n v="14"/>
    <x v="443"/>
    <n v="5.74"/>
    <n v="12538"/>
    <x v="9"/>
    <n v="80.36"/>
    <x v="10"/>
    <n v="2024"/>
    <x v="0"/>
    <s v="Returning"/>
  </r>
  <r>
    <n v="50447"/>
    <s v="82494L"/>
    <s v="WOODEN FRAME ANTIQUE WHITE"/>
    <n v="23"/>
    <x v="444"/>
    <n v="3.07"/>
    <n v="12496"/>
    <x v="2"/>
    <n v="70.61"/>
    <x v="0"/>
    <n v="2024"/>
    <x v="0"/>
    <s v="Returning"/>
  </r>
  <r>
    <n v="50448"/>
    <s v="84970S"/>
    <s v="HANGING HEART ZINC T-LIGHT HOLDER"/>
    <n v="13"/>
    <x v="445"/>
    <n v="1.07"/>
    <n v="12611"/>
    <x v="9"/>
    <n v="13.91"/>
    <x v="11"/>
    <n v="2024"/>
    <x v="0"/>
    <s v="New"/>
  </r>
  <r>
    <n v="50449"/>
    <s v="85123A"/>
    <s v="WHITE HANGING HEART T-LIGHT HOLDER"/>
    <n v="16"/>
    <x v="446"/>
    <n v="2.85"/>
    <n v="12238"/>
    <x v="5"/>
    <n v="45.6"/>
    <x v="7"/>
    <n v="2024"/>
    <x v="0"/>
    <s v="Returning"/>
  </r>
  <r>
    <n v="50450"/>
    <s v="84029G"/>
    <s v="KNITTED UNION FLAG HOT WATER BOTTLE"/>
    <n v="9"/>
    <x v="447"/>
    <n v="3.82"/>
    <n v="12754"/>
    <x v="1"/>
    <n v="34.379999999999995"/>
    <x v="7"/>
    <n v="2024"/>
    <x v="0"/>
    <s v="Returning"/>
  </r>
  <r>
    <n v="50451"/>
    <n v="22423"/>
    <s v="REGENCY CAKESTAND 3 TIER"/>
    <n v="12"/>
    <x v="448"/>
    <n v="15.26"/>
    <n v="12177"/>
    <x v="5"/>
    <n v="183.12"/>
    <x v="1"/>
    <n v="2024"/>
    <x v="0"/>
    <s v="Wholesale"/>
  </r>
  <r>
    <n v="50452"/>
    <n v="22423"/>
    <s v="REGENCY CAKESTAND 3 TIER"/>
    <n v="24"/>
    <x v="449"/>
    <n v="14.92"/>
    <n v="12028"/>
    <x v="2"/>
    <n v="358.08"/>
    <x v="1"/>
    <n v="2024"/>
    <x v="0"/>
    <s v="Returning"/>
  </r>
  <r>
    <n v="50453"/>
    <s v="84970S"/>
    <s v="HANGING HEART ZINC T-LIGHT HOLDER"/>
    <n v="19"/>
    <x v="450"/>
    <n v="1.43"/>
    <n v="12829"/>
    <x v="8"/>
    <n v="27.169999999999998"/>
    <x v="1"/>
    <n v="2024"/>
    <x v="0"/>
    <s v="New"/>
  </r>
  <r>
    <s v="C50454"/>
    <s v="82494L"/>
    <s v="WOODEN FRAME ANTIQUE WHITE"/>
    <n v="-1"/>
    <x v="451"/>
    <n v="2.75"/>
    <n v="12224"/>
    <x v="1"/>
    <n v="-2.75"/>
    <x v="5"/>
    <n v="2024"/>
    <x v="1"/>
    <s v="Returning"/>
  </r>
  <r>
    <n v="50455"/>
    <s v="POST"/>
    <s v="POSTAGE"/>
    <n v="11"/>
    <x v="452"/>
    <n v="16.57"/>
    <n v="12133"/>
    <x v="2"/>
    <n v="182.27"/>
    <x v="11"/>
    <n v="2024"/>
    <x v="0"/>
    <s v="New"/>
  </r>
  <r>
    <n v="50456"/>
    <n v="22720"/>
    <s v="SET OF 3 CAKE TINS PANTRY DESIGN"/>
    <n v="1"/>
    <x v="453"/>
    <n v="5.43"/>
    <n v="12145"/>
    <x v="6"/>
    <n v="5.43"/>
    <x v="5"/>
    <n v="2024"/>
    <x v="0"/>
    <s v="New"/>
  </r>
  <r>
    <n v="50457"/>
    <s v="POST"/>
    <s v="POSTAGE"/>
    <n v="12"/>
    <x v="454"/>
    <n v="19.47"/>
    <n v="12600"/>
    <x v="6"/>
    <n v="233.64"/>
    <x v="10"/>
    <n v="2024"/>
    <x v="0"/>
    <s v="Wholesale"/>
  </r>
  <r>
    <n v="50458"/>
    <n v="22086"/>
    <s v="PAPER CHAIN KIT 50'S CHRISTMAS"/>
    <n v="5"/>
    <x v="455"/>
    <n v="3.26"/>
    <n v="12447"/>
    <x v="8"/>
    <n v="16.299999999999997"/>
    <x v="5"/>
    <n v="2024"/>
    <x v="0"/>
    <s v="Wholesale"/>
  </r>
  <r>
    <n v="50459"/>
    <n v="22086"/>
    <s v="PAPER CHAIN KIT 50'S CHRISTMAS"/>
    <n v="23"/>
    <x v="456"/>
    <n v="3.14"/>
    <n v="12365"/>
    <x v="9"/>
    <n v="72.22"/>
    <x v="8"/>
    <n v="2024"/>
    <x v="0"/>
    <s v="New"/>
  </r>
  <r>
    <n v="50460"/>
    <s v="84970S"/>
    <s v="HANGING HEART ZINC T-LIGHT HOLDER"/>
    <n v="10"/>
    <x v="457"/>
    <n v="1.19"/>
    <n v="12181"/>
    <x v="1"/>
    <n v="11.899999999999999"/>
    <x v="8"/>
    <n v="2024"/>
    <x v="0"/>
    <s v="New"/>
  </r>
  <r>
    <n v="50461"/>
    <s v="84970S"/>
    <s v="HANGING HEART ZINC T-LIGHT HOLDER"/>
    <n v="2"/>
    <x v="458"/>
    <n v="1.2"/>
    <n v="12828"/>
    <x v="3"/>
    <n v="2.4"/>
    <x v="10"/>
    <n v="2024"/>
    <x v="0"/>
    <s v="Wholesale"/>
  </r>
  <r>
    <n v="50462"/>
    <n v="22423"/>
    <s v="REGENCY CAKESTAND 3 TIER"/>
    <n v="4"/>
    <x v="459"/>
    <n v="11.47"/>
    <n v="12763"/>
    <x v="6"/>
    <n v="45.88"/>
    <x v="6"/>
    <n v="2024"/>
    <x v="0"/>
    <s v="New"/>
  </r>
  <r>
    <n v="50463"/>
    <n v="22423"/>
    <s v="REGENCY CAKESTAND 3 TIER"/>
    <n v="6"/>
    <x v="460"/>
    <n v="15.14"/>
    <n v="12841"/>
    <x v="2"/>
    <n v="90.84"/>
    <x v="5"/>
    <n v="2024"/>
    <x v="0"/>
    <s v="New"/>
  </r>
  <r>
    <n v="50464"/>
    <n v="20725"/>
    <s v="LUNCH BAG RED RETROSPOT"/>
    <n v="7"/>
    <x v="461"/>
    <n v="1.44"/>
    <n v="12262"/>
    <x v="6"/>
    <n v="10.08"/>
    <x v="0"/>
    <n v="2024"/>
    <x v="0"/>
    <s v="Returning"/>
  </r>
  <r>
    <n v="50465"/>
    <s v="85123A"/>
    <s v="WHITE HANGING HEART T-LIGHT HOLDER"/>
    <n v="15"/>
    <x v="462"/>
    <n v="3.03"/>
    <n v="12905"/>
    <x v="7"/>
    <n v="45.449999999999996"/>
    <x v="0"/>
    <n v="2024"/>
    <x v="0"/>
    <s v="New"/>
  </r>
  <r>
    <n v="50466"/>
    <n v="23203"/>
    <s v="JUMBO BAG DOILEY PATTERNS"/>
    <n v="18"/>
    <x v="463"/>
    <n v="2.37"/>
    <n v="12807"/>
    <x v="3"/>
    <n v="42.660000000000004"/>
    <x v="10"/>
    <n v="2024"/>
    <x v="0"/>
    <s v="Wholesale"/>
  </r>
  <r>
    <n v="50467"/>
    <n v="22423"/>
    <s v="REGENCY CAKESTAND 3 TIER"/>
    <n v="3"/>
    <x v="464"/>
    <n v="10.99"/>
    <n v="12020"/>
    <x v="2"/>
    <n v="32.97"/>
    <x v="8"/>
    <n v="2024"/>
    <x v="0"/>
    <s v="Returning"/>
  </r>
  <r>
    <n v="50468"/>
    <n v="47566"/>
    <s v="PARTY BUNTING"/>
    <n v="11"/>
    <x v="465"/>
    <n v="4.8600000000000003"/>
    <n v="12749"/>
    <x v="6"/>
    <n v="53.46"/>
    <x v="4"/>
    <n v="2024"/>
    <x v="0"/>
    <s v="New"/>
  </r>
  <r>
    <n v="50469"/>
    <s v="82494L"/>
    <s v="WOODEN FRAME ANTIQUE WHITE"/>
    <n v="20"/>
    <x v="466"/>
    <n v="3.43"/>
    <n v="12721"/>
    <x v="1"/>
    <n v="68.600000000000009"/>
    <x v="4"/>
    <n v="2024"/>
    <x v="0"/>
    <s v="New"/>
  </r>
  <r>
    <n v="50470"/>
    <s v="85099B"/>
    <s v="JUMBO BAG RED RETROSPOT"/>
    <n v="20"/>
    <x v="467"/>
    <n v="1.88"/>
    <n v="12103"/>
    <x v="2"/>
    <n v="37.599999999999994"/>
    <x v="6"/>
    <n v="2024"/>
    <x v="0"/>
    <s v="New"/>
  </r>
  <r>
    <n v="50471"/>
    <n v="22727"/>
    <s v="ALARM CLOCK BAKELIKE RED"/>
    <n v="23"/>
    <x v="468"/>
    <n v="4.4000000000000004"/>
    <n v="12553"/>
    <x v="4"/>
    <n v="101.2"/>
    <x v="2"/>
    <n v="2024"/>
    <x v="0"/>
    <s v="New"/>
  </r>
  <r>
    <s v="C50472"/>
    <n v="22960"/>
    <s v="JAM MAKING SET WITH JARS"/>
    <n v="-4"/>
    <x v="469"/>
    <n v="3.84"/>
    <n v="12369"/>
    <x v="1"/>
    <n v="-15.36"/>
    <x v="5"/>
    <n v="2024"/>
    <x v="1"/>
    <s v="Wholesale"/>
  </r>
  <r>
    <n v="50473"/>
    <s v="85099B"/>
    <s v="JUMBO BAG RED RETROSPOT"/>
    <n v="22"/>
    <x v="470"/>
    <n v="2.12"/>
    <n v="12099"/>
    <x v="1"/>
    <n v="46.64"/>
    <x v="4"/>
    <n v="2024"/>
    <x v="0"/>
    <s v="Wholesale"/>
  </r>
  <r>
    <n v="50474"/>
    <n v="22727"/>
    <s v="ALARM CLOCK BAKELIKE RED"/>
    <n v="3"/>
    <x v="471"/>
    <n v="3.34"/>
    <n v="12803"/>
    <x v="7"/>
    <n v="10.02"/>
    <x v="8"/>
    <n v="2024"/>
    <x v="0"/>
    <s v="New"/>
  </r>
  <r>
    <n v="50475"/>
    <n v="23203"/>
    <s v="JUMBO BAG DOILEY PATTERNS"/>
    <n v="3"/>
    <x v="472"/>
    <n v="2.0499999999999998"/>
    <n v="12379"/>
    <x v="7"/>
    <n v="6.1499999999999995"/>
    <x v="11"/>
    <n v="2024"/>
    <x v="0"/>
    <s v="New"/>
  </r>
  <r>
    <n v="50476"/>
    <n v="21212"/>
    <s v="PACK OF 72 RETROSPOT CAKE CASES"/>
    <n v="2"/>
    <x v="473"/>
    <n v="0.56000000000000005"/>
    <n v="12231"/>
    <x v="4"/>
    <n v="1.1200000000000001"/>
    <x v="2"/>
    <n v="2024"/>
    <x v="0"/>
    <s v="Wholesale"/>
  </r>
  <r>
    <n v="50477"/>
    <s v="84970S"/>
    <s v="HANGING HEART ZINC T-LIGHT HOLDER"/>
    <n v="23"/>
    <x v="474"/>
    <n v="1.1000000000000001"/>
    <n v="12352"/>
    <x v="0"/>
    <n v="25.3"/>
    <x v="4"/>
    <n v="2024"/>
    <x v="0"/>
    <s v="Returning"/>
  </r>
  <r>
    <n v="50478"/>
    <s v="85099B"/>
    <s v="JUMBO BAG RED RETROSPOT"/>
    <n v="18"/>
    <x v="475"/>
    <n v="2.0499999999999998"/>
    <n v="12535"/>
    <x v="7"/>
    <n v="36.9"/>
    <x v="1"/>
    <n v="2024"/>
    <x v="0"/>
    <s v="New"/>
  </r>
  <r>
    <n v="50479"/>
    <s v="82494L"/>
    <s v="WOODEN FRAME ANTIQUE WHITE"/>
    <n v="19"/>
    <x v="476"/>
    <n v="3"/>
    <n v="12080"/>
    <x v="7"/>
    <n v="57"/>
    <x v="3"/>
    <n v="2024"/>
    <x v="0"/>
    <s v="Returning"/>
  </r>
  <r>
    <n v="50480"/>
    <n v="71053"/>
    <s v="WHITE METAL LANTERN"/>
    <n v="17"/>
    <x v="477"/>
    <n v="3.69"/>
    <n v="12635"/>
    <x v="5"/>
    <n v="62.73"/>
    <x v="11"/>
    <n v="2024"/>
    <x v="0"/>
    <s v="New"/>
  </r>
  <r>
    <n v="50481"/>
    <s v="84029G"/>
    <s v="KNITTED UNION FLAG HOT WATER BOTTLE"/>
    <n v="6"/>
    <x v="478"/>
    <n v="3.84"/>
    <n v="12129"/>
    <x v="1"/>
    <n v="23.04"/>
    <x v="9"/>
    <n v="2024"/>
    <x v="0"/>
    <s v="Wholesale"/>
  </r>
  <r>
    <n v="50482"/>
    <s v="85099B"/>
    <s v="JUMBO BAG RED RETROSPOT"/>
    <n v="7"/>
    <x v="479"/>
    <n v="2.2200000000000002"/>
    <n v="12854"/>
    <x v="3"/>
    <n v="15.540000000000001"/>
    <x v="4"/>
    <n v="2024"/>
    <x v="0"/>
    <s v="Returning"/>
  </r>
  <r>
    <n v="50483"/>
    <n v="47566"/>
    <s v="PARTY BUNTING"/>
    <n v="3"/>
    <x v="480"/>
    <n v="4.9000000000000004"/>
    <n v="12333"/>
    <x v="4"/>
    <n v="14.700000000000001"/>
    <x v="5"/>
    <n v="2024"/>
    <x v="0"/>
    <s v="Wholesale"/>
  </r>
  <r>
    <n v="50484"/>
    <s v="POST"/>
    <s v="POSTAGE"/>
    <n v="23"/>
    <x v="481"/>
    <n v="18.59"/>
    <n v="12429"/>
    <x v="6"/>
    <n v="427.57"/>
    <x v="9"/>
    <n v="2024"/>
    <x v="0"/>
    <s v="Wholesale"/>
  </r>
  <r>
    <n v="50485"/>
    <s v="85099B"/>
    <s v="JUMBO BAG RED RETROSPOT"/>
    <n v="19"/>
    <x v="482"/>
    <n v="2.3199999999999998"/>
    <n v="12962"/>
    <x v="6"/>
    <n v="44.08"/>
    <x v="8"/>
    <n v="2024"/>
    <x v="0"/>
    <s v="Returning"/>
  </r>
  <r>
    <n v="50486"/>
    <s v="84029G"/>
    <s v="KNITTED UNION FLAG HOT WATER BOTTLE"/>
    <n v="10"/>
    <x v="483"/>
    <n v="3.93"/>
    <n v="12898"/>
    <x v="7"/>
    <n v="39.300000000000004"/>
    <x v="1"/>
    <n v="2024"/>
    <x v="0"/>
    <s v="Returning"/>
  </r>
  <r>
    <n v="50487"/>
    <n v="47566"/>
    <s v="PARTY BUNTING"/>
    <n v="19"/>
    <x v="484"/>
    <n v="4.2699999999999996"/>
    <n v="12282"/>
    <x v="7"/>
    <n v="81.13"/>
    <x v="10"/>
    <n v="2024"/>
    <x v="0"/>
    <s v="Wholesale"/>
  </r>
  <r>
    <n v="50488"/>
    <n v="84879"/>
    <s v="ASSORTED COLOUR BIRD ORNAMENT"/>
    <n v="2"/>
    <x v="485"/>
    <n v="1.96"/>
    <n v="12707"/>
    <x v="9"/>
    <n v="3.92"/>
    <x v="6"/>
    <n v="2024"/>
    <x v="0"/>
    <s v="New"/>
  </r>
  <r>
    <s v="C50489"/>
    <n v="71053"/>
    <s v="WHITE METAL LANTERN"/>
    <n v="-5"/>
    <x v="486"/>
    <n v="3.25"/>
    <n v="12863"/>
    <x v="8"/>
    <n v="-16.25"/>
    <x v="9"/>
    <n v="2024"/>
    <x v="1"/>
    <s v="New"/>
  </r>
  <r>
    <n v="50490"/>
    <s v="84029G"/>
    <s v="KNITTED UNION FLAG HOT WATER BOTTLE"/>
    <n v="10"/>
    <x v="487"/>
    <n v="3.41"/>
    <n v="12845"/>
    <x v="2"/>
    <n v="34.1"/>
    <x v="2"/>
    <n v="2024"/>
    <x v="0"/>
    <s v="New"/>
  </r>
  <r>
    <n v="50491"/>
    <n v="47566"/>
    <s v="PARTY BUNTING"/>
    <n v="7"/>
    <x v="488"/>
    <n v="5.79"/>
    <n v="12416"/>
    <x v="8"/>
    <n v="40.53"/>
    <x v="9"/>
    <n v="2024"/>
    <x v="0"/>
    <s v="Returning"/>
  </r>
  <r>
    <n v="50492"/>
    <s v="POST"/>
    <s v="POSTAGE"/>
    <n v="17"/>
    <x v="489"/>
    <n v="15.71"/>
    <n v="12726"/>
    <x v="0"/>
    <n v="267.07"/>
    <x v="10"/>
    <n v="2024"/>
    <x v="0"/>
    <s v="Wholesale"/>
  </r>
  <r>
    <s v="C50493"/>
    <n v="22386"/>
    <s v="JUMBO BAG PINK POLKADOT"/>
    <n v="-4"/>
    <x v="490"/>
    <n v="2.25"/>
    <n v="12205"/>
    <x v="1"/>
    <n v="-9"/>
    <x v="8"/>
    <n v="2024"/>
    <x v="1"/>
    <s v="New"/>
  </r>
  <r>
    <n v="50494"/>
    <n v="22423"/>
    <s v="REGENCY CAKESTAND 3 TIER"/>
    <n v="2"/>
    <x v="491"/>
    <n v="13.98"/>
    <n v="12280"/>
    <x v="2"/>
    <n v="27.96"/>
    <x v="0"/>
    <n v="2024"/>
    <x v="0"/>
    <s v="Returning"/>
  </r>
  <r>
    <n v="50495"/>
    <n v="20725"/>
    <s v="LUNCH BAG RED RETROSPOT"/>
    <n v="21"/>
    <x v="492"/>
    <n v="1.8"/>
    <n v="12247"/>
    <x v="2"/>
    <n v="37.800000000000004"/>
    <x v="11"/>
    <n v="2024"/>
    <x v="0"/>
    <s v="New"/>
  </r>
  <r>
    <n v="50496"/>
    <n v="23203"/>
    <s v="JUMBO BAG DOILEY PATTERNS"/>
    <n v="6"/>
    <x v="493"/>
    <n v="2.11"/>
    <n v="12564"/>
    <x v="2"/>
    <n v="12.66"/>
    <x v="1"/>
    <n v="2024"/>
    <x v="0"/>
    <s v="Wholesale"/>
  </r>
  <r>
    <n v="50497"/>
    <n v="21212"/>
    <s v="PACK OF 72 RETROSPOT CAKE CASES"/>
    <n v="24"/>
    <x v="494"/>
    <n v="0.48"/>
    <n v="12028"/>
    <x v="7"/>
    <n v="11.52"/>
    <x v="8"/>
    <n v="2024"/>
    <x v="0"/>
    <s v="Returning"/>
  </r>
  <r>
    <n v="50498"/>
    <n v="71053"/>
    <s v="WHITE METAL LANTERN"/>
    <n v="7"/>
    <x v="495"/>
    <n v="3.65"/>
    <n v="12693"/>
    <x v="9"/>
    <n v="25.55"/>
    <x v="8"/>
    <n v="2024"/>
    <x v="0"/>
    <s v="Wholesale"/>
  </r>
  <r>
    <s v="C50499"/>
    <n v="47566"/>
    <s v="PARTY BUNTING"/>
    <n v="-1"/>
    <x v="496"/>
    <n v="5.03"/>
    <n v="12135"/>
    <x v="5"/>
    <n v="-5.03"/>
    <x v="6"/>
    <n v="2024"/>
    <x v="1"/>
    <s v="Wholesale"/>
  </r>
  <r>
    <n v="50500"/>
    <n v="84991"/>
    <s v="60 TEATIME FAIRY CAKE CASES"/>
    <n v="9"/>
    <x v="497"/>
    <n v="0.65"/>
    <n v="12729"/>
    <x v="4"/>
    <n v="5.8500000000000005"/>
    <x v="0"/>
    <n v="2024"/>
    <x v="0"/>
    <s v="Wholesa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C980B7-717B-4F59-B37C-870B1C10B774}"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2:H15" firstHeaderRow="1" firstDataRow="1" firstDataCol="1"/>
  <pivotFields count="13">
    <pivotField showAll="0"/>
    <pivotField showAll="0"/>
    <pivotField showAll="0"/>
    <pivotField showAll="0"/>
    <pivotField numFmtId="164" showAll="0">
      <items count="499">
        <item x="304"/>
        <item x="420"/>
        <item x="160"/>
        <item x="34"/>
        <item x="497"/>
        <item x="378"/>
        <item x="461"/>
        <item x="437"/>
        <item x="415"/>
        <item x="99"/>
        <item x="409"/>
        <item x="329"/>
        <item x="444"/>
        <item x="114"/>
        <item x="51"/>
        <item x="0"/>
        <item x="241"/>
        <item x="55"/>
        <item x="91"/>
        <item x="380"/>
        <item x="301"/>
        <item x="155"/>
        <item x="491"/>
        <item x="360"/>
        <item x="48"/>
        <item x="421"/>
        <item x="49"/>
        <item x="335"/>
        <item x="428"/>
        <item x="221"/>
        <item x="206"/>
        <item x="336"/>
        <item x="182"/>
        <item x="462"/>
        <item x="158"/>
        <item x="280"/>
        <item x="162"/>
        <item x="298"/>
        <item x="21"/>
        <item x="37"/>
        <item x="110"/>
        <item x="328"/>
        <item x="272"/>
        <item x="474"/>
        <item x="36"/>
        <item x="296"/>
        <item x="15"/>
        <item x="73"/>
        <item x="224"/>
        <item x="11"/>
        <item x="170"/>
        <item x="307"/>
        <item x="42"/>
        <item x="54"/>
        <item x="402"/>
        <item x="300"/>
        <item x="252"/>
        <item x="195"/>
        <item x="189"/>
        <item x="247"/>
        <item x="479"/>
        <item x="213"/>
        <item x="80"/>
        <item x="397"/>
        <item x="78"/>
        <item x="103"/>
        <item x="242"/>
        <item x="90"/>
        <item x="470"/>
        <item x="14"/>
        <item x="134"/>
        <item x="64"/>
        <item x="439"/>
        <item x="466"/>
        <item x="4"/>
        <item x="46"/>
        <item x="429"/>
        <item x="340"/>
        <item x="321"/>
        <item x="130"/>
        <item x="371"/>
        <item x="465"/>
        <item x="351"/>
        <item x="30"/>
        <item x="279"/>
        <item x="109"/>
        <item x="414"/>
        <item x="86"/>
        <item x="38"/>
        <item x="395"/>
        <item x="111"/>
        <item x="233"/>
        <item x="22"/>
        <item x="262"/>
        <item x="184"/>
        <item x="245"/>
        <item x="153"/>
        <item x="490"/>
        <item x="214"/>
        <item x="327"/>
        <item x="183"/>
        <item x="235"/>
        <item x="152"/>
        <item x="365"/>
        <item x="253"/>
        <item x="177"/>
        <item x="124"/>
        <item x="482"/>
        <item x="364"/>
        <item x="323"/>
        <item x="82"/>
        <item x="432"/>
        <item x="419"/>
        <item x="52"/>
        <item x="70"/>
        <item x="211"/>
        <item x="494"/>
        <item x="265"/>
        <item x="464"/>
        <item x="287"/>
        <item x="495"/>
        <item x="385"/>
        <item x="416"/>
        <item x="325"/>
        <item x="471"/>
        <item x="457"/>
        <item x="456"/>
        <item x="330"/>
        <item x="18"/>
        <item x="176"/>
        <item x="356"/>
        <item x="115"/>
        <item x="473"/>
        <item x="236"/>
        <item x="157"/>
        <item x="468"/>
        <item x="85"/>
        <item x="19"/>
        <item x="263"/>
        <item x="2"/>
        <item x="433"/>
        <item x="159"/>
        <item x="318"/>
        <item x="79"/>
        <item x="237"/>
        <item x="27"/>
        <item x="168"/>
        <item x="76"/>
        <item x="10"/>
        <item x="322"/>
        <item x="423"/>
        <item x="399"/>
        <item x="487"/>
        <item x="26"/>
        <item x="305"/>
        <item x="143"/>
        <item x="7"/>
        <item x="308"/>
        <item x="309"/>
        <item x="384"/>
        <item x="141"/>
        <item x="222"/>
        <item x="425"/>
        <item x="65"/>
        <item x="136"/>
        <item x="295"/>
        <item x="255"/>
        <item x="447"/>
        <item x="198"/>
        <item x="290"/>
        <item x="68"/>
        <item x="361"/>
        <item x="113"/>
        <item x="106"/>
        <item x="44"/>
        <item x="40"/>
        <item x="316"/>
        <item x="345"/>
        <item x="96"/>
        <item x="441"/>
        <item x="125"/>
        <item x="446"/>
        <item x="92"/>
        <item x="386"/>
        <item x="226"/>
        <item x="410"/>
        <item x="276"/>
        <item x="275"/>
        <item x="282"/>
        <item x="117"/>
        <item x="120"/>
        <item x="277"/>
        <item x="357"/>
        <item x="94"/>
        <item x="229"/>
        <item x="17"/>
        <item x="145"/>
        <item x="383"/>
        <item x="469"/>
        <item x="285"/>
        <item x="126"/>
        <item x="338"/>
        <item x="353"/>
        <item x="310"/>
        <item x="455"/>
        <item x="246"/>
        <item x="451"/>
        <item x="225"/>
        <item x="84"/>
        <item x="59"/>
        <item x="401"/>
        <item x="271"/>
        <item x="337"/>
        <item x="69"/>
        <item x="431"/>
        <item x="480"/>
        <item x="422"/>
        <item x="354"/>
        <item x="72"/>
        <item x="453"/>
        <item x="289"/>
        <item x="256"/>
        <item x="200"/>
        <item x="315"/>
        <item x="201"/>
        <item x="127"/>
        <item x="426"/>
        <item x="417"/>
        <item x="25"/>
        <item x="147"/>
        <item x="223"/>
        <item x="101"/>
        <item x="45"/>
        <item x="181"/>
        <item x="460"/>
        <item x="53"/>
        <item x="194"/>
        <item x="8"/>
        <item x="331"/>
        <item x="172"/>
        <item x="342"/>
        <item x="350"/>
        <item x="119"/>
        <item x="240"/>
        <item x="163"/>
        <item x="454"/>
        <item x="260"/>
        <item x="174"/>
        <item x="149"/>
        <item x="208"/>
        <item x="254"/>
        <item x="210"/>
        <item x="489"/>
        <item x="205"/>
        <item x="355"/>
        <item x="273"/>
        <item x="463"/>
        <item x="302"/>
        <item x="167"/>
        <item x="443"/>
        <item x="339"/>
        <item x="404"/>
        <item x="484"/>
        <item x="347"/>
        <item x="129"/>
        <item x="57"/>
        <item x="199"/>
        <item x="408"/>
        <item x="344"/>
        <item x="75"/>
        <item x="74"/>
        <item x="406"/>
        <item x="458"/>
        <item x="440"/>
        <item x="435"/>
        <item x="185"/>
        <item x="341"/>
        <item x="227"/>
        <item x="60"/>
        <item x="369"/>
        <item x="333"/>
        <item x="186"/>
        <item x="346"/>
        <item x="33"/>
        <item x="116"/>
        <item x="379"/>
        <item x="243"/>
        <item x="403"/>
        <item x="169"/>
        <item x="488"/>
        <item x="209"/>
        <item x="216"/>
        <item x="23"/>
        <item x="67"/>
        <item x="165"/>
        <item x="230"/>
        <item x="398"/>
        <item x="362"/>
        <item x="62"/>
        <item x="430"/>
        <item x="231"/>
        <item x="193"/>
        <item x="352"/>
        <item x="297"/>
        <item x="180"/>
        <item x="47"/>
        <item x="215"/>
        <item x="478"/>
        <item x="207"/>
        <item x="192"/>
        <item x="197"/>
        <item x="212"/>
        <item x="370"/>
        <item x="107"/>
        <item x="196"/>
        <item x="390"/>
        <item x="238"/>
        <item x="436"/>
        <item x="294"/>
        <item x="481"/>
        <item x="217"/>
        <item x="373"/>
        <item x="41"/>
        <item x="187"/>
        <item x="122"/>
        <item x="31"/>
        <item x="138"/>
        <item x="292"/>
        <item x="320"/>
        <item x="29"/>
        <item x="77"/>
        <item x="150"/>
        <item x="63"/>
        <item x="313"/>
        <item x="268"/>
        <item x="28"/>
        <item x="366"/>
        <item x="486"/>
        <item x="452"/>
        <item x="278"/>
        <item x="203"/>
        <item x="71"/>
        <item x="394"/>
        <item x="472"/>
        <item x="377"/>
        <item x="102"/>
        <item x="349"/>
        <item x="112"/>
        <item x="284"/>
        <item x="393"/>
        <item x="381"/>
        <item x="418"/>
        <item x="257"/>
        <item x="334"/>
        <item x="445"/>
        <item x="477"/>
        <item x="492"/>
        <item x="261"/>
        <item x="173"/>
        <item x="375"/>
        <item x="232"/>
        <item x="118"/>
        <item x="387"/>
        <item x="368"/>
        <item x="228"/>
        <item x="264"/>
        <item x="104"/>
        <item x="326"/>
        <item x="188"/>
        <item x="312"/>
        <item x="286"/>
        <item x="220"/>
        <item x="372"/>
        <item x="178"/>
        <item x="427"/>
        <item x="146"/>
        <item x="266"/>
        <item x="283"/>
        <item x="248"/>
        <item x="259"/>
        <item x="5"/>
        <item x="412"/>
        <item x="89"/>
        <item x="204"/>
        <item x="133"/>
        <item x="382"/>
        <item x="281"/>
        <item x="405"/>
        <item x="95"/>
        <item x="171"/>
        <item x="93"/>
        <item x="148"/>
        <item x="314"/>
        <item x="483"/>
        <item x="450"/>
        <item x="39"/>
        <item x="179"/>
        <item x="288"/>
        <item x="105"/>
        <item x="128"/>
        <item x="219"/>
        <item x="348"/>
        <item x="218"/>
        <item x="448"/>
        <item x="6"/>
        <item x="363"/>
        <item x="258"/>
        <item x="359"/>
        <item x="269"/>
        <item x="291"/>
        <item x="13"/>
        <item x="154"/>
        <item x="438"/>
        <item x="475"/>
        <item x="311"/>
        <item x="1"/>
        <item x="449"/>
        <item x="202"/>
        <item x="493"/>
        <item x="98"/>
        <item x="56"/>
        <item x="20"/>
        <item x="234"/>
        <item x="166"/>
        <item x="137"/>
        <item x="274"/>
        <item x="175"/>
        <item x="411"/>
        <item x="61"/>
        <item x="343"/>
        <item x="485"/>
        <item x="50"/>
        <item x="424"/>
        <item x="144"/>
        <item x="9"/>
        <item x="392"/>
        <item x="88"/>
        <item x="376"/>
        <item x="407"/>
        <item x="100"/>
        <item x="293"/>
        <item x="459"/>
        <item x="251"/>
        <item x="12"/>
        <item x="190"/>
        <item x="151"/>
        <item x="442"/>
        <item x="87"/>
        <item x="81"/>
        <item x="132"/>
        <item x="396"/>
        <item x="250"/>
        <item x="496"/>
        <item x="32"/>
        <item x="467"/>
        <item x="303"/>
        <item x="43"/>
        <item x="191"/>
        <item x="388"/>
        <item x="131"/>
        <item x="324"/>
        <item x="358"/>
        <item x="249"/>
        <item x="142"/>
        <item x="164"/>
        <item x="161"/>
        <item x="306"/>
        <item x="35"/>
        <item x="24"/>
        <item x="317"/>
        <item x="267"/>
        <item x="374"/>
        <item x="299"/>
        <item x="389"/>
        <item x="139"/>
        <item x="16"/>
        <item x="270"/>
        <item x="244"/>
        <item x="58"/>
        <item x="108"/>
        <item x="156"/>
        <item x="476"/>
        <item x="97"/>
        <item x="140"/>
        <item x="400"/>
        <item x="135"/>
        <item x="391"/>
        <item x="332"/>
        <item x="66"/>
        <item x="3"/>
        <item x="413"/>
        <item x="83"/>
        <item x="434"/>
        <item x="319"/>
        <item x="123"/>
        <item x="239"/>
        <item x="367"/>
        <item x="121"/>
        <item t="default"/>
      </items>
    </pivotField>
    <pivotField numFmtId="165" showAll="0"/>
    <pivotField showAll="0"/>
    <pivotField showAll="0">
      <items count="11">
        <item x="3"/>
        <item x="7"/>
        <item x="9"/>
        <item x="5"/>
        <item x="6"/>
        <item x="2"/>
        <item x="0"/>
        <item x="4"/>
        <item x="8"/>
        <item x="1"/>
        <item t="default"/>
      </items>
    </pivotField>
    <pivotField numFmtId="165" showAll="0"/>
    <pivotField axis="axisRow" showAll="0">
      <items count="13">
        <item x="0"/>
        <item x="4"/>
        <item x="8"/>
        <item x="2"/>
        <item x="7"/>
        <item x="5"/>
        <item x="10"/>
        <item x="9"/>
        <item x="11"/>
        <item x="1"/>
        <item x="6"/>
        <item x="3"/>
        <item t="default"/>
      </items>
    </pivotField>
    <pivotField showAll="0"/>
    <pivotField dataField="1" showAll="0">
      <items count="3">
        <item x="1"/>
        <item x="0"/>
        <item t="default"/>
      </items>
    </pivotField>
    <pivotField showAll="0"/>
  </pivotFields>
  <rowFields count="1">
    <field x="9"/>
  </rowFields>
  <rowItems count="13">
    <i>
      <x/>
    </i>
    <i>
      <x v="1"/>
    </i>
    <i>
      <x v="2"/>
    </i>
    <i>
      <x v="3"/>
    </i>
    <i>
      <x v="4"/>
    </i>
    <i>
      <x v="5"/>
    </i>
    <i>
      <x v="6"/>
    </i>
    <i>
      <x v="7"/>
    </i>
    <i>
      <x v="8"/>
    </i>
    <i>
      <x v="9"/>
    </i>
    <i>
      <x v="10"/>
    </i>
    <i>
      <x v="11"/>
    </i>
    <i t="grand">
      <x/>
    </i>
  </rowItems>
  <colItems count="1">
    <i/>
  </colItems>
  <dataFields count="1">
    <dataField name="Count of OrderStatu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96223C-3F69-4876-B485-6C3ACDAA542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15" firstHeaderRow="1" firstDataRow="1" firstDataCol="1"/>
  <pivotFields count="13">
    <pivotField showAll="0"/>
    <pivotField showAll="0"/>
    <pivotField showAll="0"/>
    <pivotField showAll="0"/>
    <pivotField numFmtId="164" showAll="0"/>
    <pivotField numFmtId="165" showAll="0"/>
    <pivotField showAll="0"/>
    <pivotField showAll="0">
      <items count="11">
        <item x="3"/>
        <item x="7"/>
        <item x="9"/>
        <item x="5"/>
        <item x="6"/>
        <item x="2"/>
        <item x="0"/>
        <item x="4"/>
        <item x="8"/>
        <item x="1"/>
        <item t="default"/>
      </items>
    </pivotField>
    <pivotField dataField="1" numFmtId="165" showAll="0"/>
    <pivotField axis="axisRow" showAll="0">
      <items count="13">
        <item x="0"/>
        <item x="4"/>
        <item x="8"/>
        <item x="2"/>
        <item x="7"/>
        <item x="5"/>
        <item x="10"/>
        <item x="9"/>
        <item x="11"/>
        <item x="1"/>
        <item x="6"/>
        <item x="3"/>
        <item t="default"/>
      </items>
    </pivotField>
    <pivotField showAll="0"/>
    <pivotField showAll="0"/>
    <pivotField showAll="0"/>
  </pivotFields>
  <rowFields count="1">
    <field x="9"/>
  </rowFields>
  <rowItems count="13">
    <i>
      <x/>
    </i>
    <i>
      <x v="1"/>
    </i>
    <i>
      <x v="2"/>
    </i>
    <i>
      <x v="3"/>
    </i>
    <i>
      <x v="4"/>
    </i>
    <i>
      <x v="5"/>
    </i>
    <i>
      <x v="6"/>
    </i>
    <i>
      <x v="7"/>
    </i>
    <i>
      <x v="8"/>
    </i>
    <i>
      <x v="9"/>
    </i>
    <i>
      <x v="10"/>
    </i>
    <i>
      <x v="11"/>
    </i>
    <i t="grand">
      <x/>
    </i>
  </rowItems>
  <colItems count="1">
    <i/>
  </colItems>
  <dataFields count="1">
    <dataField name="Sum of Revenue"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97060E-90C1-4310-AA02-8CD40E4C757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13" firstHeaderRow="1" firstDataRow="1" firstDataCol="1"/>
  <pivotFields count="13">
    <pivotField showAll="0"/>
    <pivotField showAll="0"/>
    <pivotField showAll="0"/>
    <pivotField showAll="0"/>
    <pivotField numFmtId="164" showAll="0"/>
    <pivotField numFmtId="165" showAll="0"/>
    <pivotField showAll="0"/>
    <pivotField axis="axisRow" showAll="0">
      <items count="11">
        <item x="3"/>
        <item x="7"/>
        <item x="9"/>
        <item x="5"/>
        <item x="6"/>
        <item x="2"/>
        <item x="0"/>
        <item x="4"/>
        <item x="8"/>
        <item x="1"/>
        <item t="default"/>
      </items>
    </pivotField>
    <pivotField numFmtId="165" showAll="0"/>
    <pivotField showAll="0">
      <items count="13">
        <item x="0"/>
        <item x="4"/>
        <item x="8"/>
        <item x="2"/>
        <item x="7"/>
        <item x="5"/>
        <item x="10"/>
        <item x="9"/>
        <item x="11"/>
        <item x="1"/>
        <item x="6"/>
        <item x="3"/>
        <item t="default"/>
      </items>
    </pivotField>
    <pivotField showAll="0"/>
    <pivotField dataField="1" showAll="0"/>
    <pivotField showAll="0"/>
  </pivotFields>
  <rowFields count="1">
    <field x="7"/>
  </rowFields>
  <rowItems count="11">
    <i>
      <x/>
    </i>
    <i>
      <x v="1"/>
    </i>
    <i>
      <x v="2"/>
    </i>
    <i>
      <x v="3"/>
    </i>
    <i>
      <x v="4"/>
    </i>
    <i>
      <x v="5"/>
    </i>
    <i>
      <x v="6"/>
    </i>
    <i>
      <x v="7"/>
    </i>
    <i>
      <x v="8"/>
    </i>
    <i>
      <x v="9"/>
    </i>
    <i t="grand">
      <x/>
    </i>
  </rowItems>
  <colItems count="1">
    <i/>
  </colItems>
  <dataFields count="1">
    <dataField name="Count of OrderStatu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A12B235-3C5B-44A6-8D76-D5BCD5802EA5}" sourceName="Country">
  <pivotTables>
    <pivotTable tabId="10" name="PivotTable9"/>
    <pivotTable tabId="10" name="PivotTable10"/>
    <pivotTable tabId="10" name="PivotTable11"/>
  </pivotTables>
  <data>
    <tabular pivotCacheId="1401881578">
      <items count="10">
        <i x="3" s="1"/>
        <i x="7" s="1"/>
        <i x="9" s="1"/>
        <i x="5" s="1"/>
        <i x="6" s="1"/>
        <i x="2" s="1"/>
        <i x="0" s="1"/>
        <i x="4" s="1"/>
        <i x="8"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A031201-FD23-4FB6-827F-3781BE868194}" sourceName="Month">
  <pivotTables>
    <pivotTable tabId="10" name="PivotTable10"/>
    <pivotTable tabId="10" name="PivotTable11"/>
    <pivotTable tabId="10" name="PivotTable9"/>
  </pivotTables>
  <data>
    <tabular pivotCacheId="1401881578">
      <items count="12">
        <i x="0" s="1"/>
        <i x="4" s="1"/>
        <i x="8" s="1"/>
        <i x="2" s="1"/>
        <i x="7" s="1"/>
        <i x="5" s="1"/>
        <i x="10" s="1"/>
        <i x="9" s="1"/>
        <i x="11" s="1"/>
        <i x="1" s="1"/>
        <i x="6"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335A0690-3EAE-492E-97BF-17A677C26065}" cache="Slicer_Country" caption="Country" startItem="2" rowHeight="247650"/>
  <slicer name="Month 1" xr10:uid="{35AB24A6-226B-41D4-986C-241E7BCD57F4}" cache="Slicer_Month" caption="Month" startItem="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DDA618-16C9-4AA2-93B6-803F63E90DDF}" name="Table3" displayName="Table3" ref="A1:H502" totalsRowShown="0" headerRowDxfId="28" dataDxfId="27" tableBorderDxfId="26">
  <autoFilter ref="A1:H502" xr:uid="{F0DDA618-16C9-4AA2-93B6-803F63E90DDF}"/>
  <tableColumns count="8">
    <tableColumn id="1" xr3:uid="{C5E8FDA8-792D-4C86-A36F-2B25F7274570}" name="InvoiceNo" dataDxfId="25"/>
    <tableColumn id="2" xr3:uid="{A736A59F-8905-4500-92D6-B2DEC0936E43}" name="StockCode" dataDxfId="24"/>
    <tableColumn id="3" xr3:uid="{D8528B66-FDB6-4D56-800A-9350B600BEF3}" name="Description" dataDxfId="23"/>
    <tableColumn id="4" xr3:uid="{0B6134D9-2DBF-4724-A4CA-97F1D2A8928F}" name="Quantity" dataDxfId="22"/>
    <tableColumn id="5" xr3:uid="{855C60E5-DFD5-455B-A241-88BE43B6ABB9}" name="InvoiceDate" dataDxfId="21"/>
    <tableColumn id="6" xr3:uid="{E67060DC-3D9C-4A13-BA60-A8C68F1B89B8}" name="UnitPrice" dataDxfId="20"/>
    <tableColumn id="7" xr3:uid="{01DFC913-5876-428D-87E5-86CDF7E57A10}" name="CustomerID" dataDxfId="19"/>
    <tableColumn id="8" xr3:uid="{93087DB9-A324-4D48-8630-BEF512D67E36}" name="Country" dataDxfId="1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005885D-0145-44FC-8351-A16214FAA72E}" name="Table5" displayName="Table5" ref="A1:M501" totalsRowShown="0" headerRowDxfId="17" dataDxfId="15" headerRowBorderDxfId="16" tableBorderDxfId="14" totalsRowBorderDxfId="13">
  <autoFilter ref="A1:M501" xr:uid="{E005885D-0145-44FC-8351-A16214FAA72E}"/>
  <tableColumns count="13">
    <tableColumn id="1" xr3:uid="{728C2ED2-BFEE-43E5-A01D-F8ECD0C8F5A2}" name="InvoiceNo" dataDxfId="12"/>
    <tableColumn id="2" xr3:uid="{62344786-5C8D-41A1-BA40-7A8CFDCF406D}" name="StockCode" dataDxfId="11"/>
    <tableColumn id="3" xr3:uid="{C0D705B4-1750-421D-971F-56BCD7261F37}" name="Description" dataDxfId="10"/>
    <tableColumn id="4" xr3:uid="{5194749E-81D1-4281-8EE1-B70DDA060D38}" name="Quantity" dataDxfId="9"/>
    <tableColumn id="5" xr3:uid="{A92E423D-2EAE-489B-AFF1-69B89ACFC9DB}" name="InvoiceDate" dataDxfId="8"/>
    <tableColumn id="6" xr3:uid="{AA1327DF-9116-43AD-9648-15DAA8F593E5}" name="UnitPrice" dataDxfId="7"/>
    <tableColumn id="7" xr3:uid="{84048FB0-EFB6-4212-AD12-A14FF0BB3656}" name="CustomerID" dataDxfId="6"/>
    <tableColumn id="8" xr3:uid="{3784BFDD-E3B3-4A12-8488-CE0A557CF5AB}" name="Country" dataDxfId="5"/>
    <tableColumn id="9" xr3:uid="{D729587F-5967-41E6-892F-71F026F2FAFA}" name="Revenue" dataDxfId="4">
      <calculatedColumnFormula>D2*F2</calculatedColumnFormula>
    </tableColumn>
    <tableColumn id="10" xr3:uid="{A9F2EA57-09CF-4E41-8430-9B36338FB849}" name="Month" dataDxfId="3">
      <calculatedColumnFormula>TEXT(E2,"mmm")</calculatedColumnFormula>
    </tableColumn>
    <tableColumn id="11" xr3:uid="{D5DF8230-E9D0-4E56-AA2D-0DA375A2A347}" name="Year" dataDxfId="2">
      <calculatedColumnFormula>YEAR(E2)</calculatedColumnFormula>
    </tableColumn>
    <tableColumn id="12" xr3:uid="{E49CABBD-B4DD-4B92-8647-B5CD5EF8CD9C}" name="OrderStatus" dataDxfId="1">
      <calculatedColumnFormula>IF(OR(LEFT(A2,1)="C",D2&lt;0),"Cancelled","Completed")</calculatedColumnFormula>
    </tableColumn>
    <tableColumn id="13" xr3:uid="{29903F3C-CAE7-4A97-9DE3-078347345582}" name="CustomerSegment" dataDxfId="0">
      <calculatedColumnFormula>IF(G2=0,"Unknown",IF(MOD(G2,3)=0,"Wholesale",IF(MOD(G2,2)=0,"Returning","New")))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Date" xr10:uid="{DDAB1E10-189D-4101-9E41-4E75038FCECE}" sourceName="InvoiceDate">
  <pivotTables>
    <pivotTable tabId="10" name="PivotTable11"/>
  </pivotTables>
  <state minimalRefreshVersion="6" lastRefreshVersion="6" pivotCacheId="1401881578" filterType="unknown">
    <bounds startDate="2024-01-01T08:23:00" endDate="2025-01-01T10:42: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Date 2" xr10:uid="{C68EA45D-9115-41CC-9FD1-4DCC797EFD6A}" cache="NativeTimeline_InvoiceDate" caption="InvoiceDate" level="2" selectionLevel="2" scrollPosition="2024-05-19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0210F-DF01-4529-BAC0-F41FE00BD399}">
  <dimension ref="A1:S78"/>
  <sheetViews>
    <sheetView showGridLines="0" showRowColHeaders="0" tabSelected="1" zoomScale="84" workbookViewId="0">
      <selection activeCell="U56" sqref="U56"/>
    </sheetView>
  </sheetViews>
  <sheetFormatPr defaultRowHeight="14.4" x14ac:dyDescent="0.3"/>
  <cols>
    <col min="1" max="1" width="13.5546875" bestFit="1" customWidth="1"/>
    <col min="2" max="2" width="12.44140625" bestFit="1" customWidth="1"/>
    <col min="3" max="3" width="12.6640625" bestFit="1" customWidth="1"/>
    <col min="4" max="5" width="14.109375" bestFit="1" customWidth="1"/>
    <col min="7" max="7" width="12.44140625" bestFit="1" customWidth="1"/>
    <col min="8" max="8" width="14.109375" customWidth="1"/>
    <col min="9" max="9" width="5.109375" customWidth="1"/>
    <col min="10" max="10" width="12.6640625" bestFit="1" customWidth="1"/>
    <col min="12" max="12" width="8.88671875" customWidth="1"/>
    <col min="13" max="13" width="2.77734375" customWidth="1"/>
    <col min="14" max="14" width="3" customWidth="1"/>
    <col min="15" max="15" width="8.88671875" customWidth="1"/>
    <col min="17" max="17" width="12" customWidth="1"/>
  </cols>
  <sheetData>
    <row r="1" spans="1:18" x14ac:dyDescent="0.3">
      <c r="A1" s="48"/>
      <c r="B1" s="48"/>
      <c r="C1" s="48"/>
      <c r="D1" s="48"/>
      <c r="E1" s="48"/>
      <c r="F1" s="48"/>
      <c r="G1" s="48"/>
      <c r="H1" s="48"/>
      <c r="I1" s="48"/>
      <c r="J1" s="48"/>
      <c r="K1" s="48"/>
      <c r="L1" s="48"/>
      <c r="M1" s="48"/>
      <c r="N1" s="48"/>
      <c r="O1" s="48"/>
      <c r="P1" s="48"/>
      <c r="Q1" s="48"/>
      <c r="R1" s="48"/>
    </row>
    <row r="2" spans="1:18" ht="14.4" customHeight="1" x14ac:dyDescent="0.3">
      <c r="A2" s="48"/>
      <c r="B2" s="60" t="s">
        <v>157</v>
      </c>
      <c r="C2" s="60"/>
      <c r="D2" s="60"/>
      <c r="E2" s="60"/>
      <c r="F2" s="60"/>
      <c r="G2" s="60"/>
      <c r="H2" s="60"/>
      <c r="I2" s="60"/>
      <c r="J2" s="60"/>
      <c r="K2" s="60"/>
      <c r="L2" s="60"/>
      <c r="M2" s="60"/>
      <c r="N2" s="60"/>
      <c r="O2" s="60"/>
      <c r="P2" s="60"/>
      <c r="Q2" s="49"/>
      <c r="R2" s="48"/>
    </row>
    <row r="3" spans="1:18" ht="14.4" customHeight="1" x14ac:dyDescent="0.3">
      <c r="A3" s="48"/>
      <c r="B3" s="60"/>
      <c r="C3" s="60"/>
      <c r="D3" s="60"/>
      <c r="E3" s="60"/>
      <c r="F3" s="60"/>
      <c r="G3" s="60"/>
      <c r="H3" s="60"/>
      <c r="I3" s="60"/>
      <c r="J3" s="60"/>
      <c r="K3" s="60"/>
      <c r="L3" s="60"/>
      <c r="M3" s="60"/>
      <c r="N3" s="60"/>
      <c r="O3" s="60"/>
      <c r="P3" s="60"/>
      <c r="Q3" s="49"/>
      <c r="R3" s="48"/>
    </row>
    <row r="4" spans="1:18" ht="14.4" customHeight="1" x14ac:dyDescent="0.3">
      <c r="A4" s="48"/>
      <c r="B4" s="60"/>
      <c r="C4" s="60"/>
      <c r="D4" s="60"/>
      <c r="E4" s="60"/>
      <c r="F4" s="60"/>
      <c r="G4" s="60"/>
      <c r="H4" s="60"/>
      <c r="I4" s="60"/>
      <c r="J4" s="60"/>
      <c r="K4" s="60"/>
      <c r="L4" s="60"/>
      <c r="M4" s="60"/>
      <c r="N4" s="60"/>
      <c r="O4" s="60"/>
      <c r="P4" s="60"/>
      <c r="Q4" s="49"/>
      <c r="R4" s="48"/>
    </row>
    <row r="5" spans="1:18" ht="14.4" customHeight="1" x14ac:dyDescent="0.3">
      <c r="A5" s="48"/>
      <c r="B5" s="60"/>
      <c r="C5" s="60"/>
      <c r="D5" s="60"/>
      <c r="E5" s="60"/>
      <c r="F5" s="60"/>
      <c r="G5" s="60"/>
      <c r="H5" s="60"/>
      <c r="I5" s="60"/>
      <c r="J5" s="60"/>
      <c r="K5" s="60"/>
      <c r="L5" s="60"/>
      <c r="M5" s="60"/>
      <c r="N5" s="60"/>
      <c r="O5" s="60"/>
      <c r="P5" s="60"/>
      <c r="Q5" s="49"/>
      <c r="R5" s="48"/>
    </row>
    <row r="6" spans="1:18" ht="14.4" customHeight="1" x14ac:dyDescent="0.3">
      <c r="A6" s="48"/>
      <c r="B6" s="60"/>
      <c r="C6" s="60"/>
      <c r="D6" s="60"/>
      <c r="E6" s="60"/>
      <c r="F6" s="60"/>
      <c r="G6" s="60"/>
      <c r="H6" s="60"/>
      <c r="I6" s="60"/>
      <c r="J6" s="60"/>
      <c r="K6" s="60"/>
      <c r="L6" s="60"/>
      <c r="M6" s="60"/>
      <c r="N6" s="60"/>
      <c r="O6" s="60"/>
      <c r="P6" s="60"/>
      <c r="Q6" s="49"/>
      <c r="R6" s="48"/>
    </row>
    <row r="7" spans="1:18" x14ac:dyDescent="0.3">
      <c r="A7" s="48"/>
      <c r="B7" s="48"/>
      <c r="C7" s="48"/>
      <c r="D7" s="48"/>
      <c r="E7" s="48"/>
      <c r="F7" s="48"/>
      <c r="G7" s="48"/>
      <c r="H7" s="48"/>
      <c r="I7" s="48"/>
      <c r="J7" s="48"/>
      <c r="K7" s="48"/>
      <c r="L7" s="48"/>
      <c r="M7" s="48"/>
      <c r="N7" s="48"/>
      <c r="O7" s="48"/>
      <c r="P7" s="48"/>
      <c r="Q7" s="48"/>
      <c r="R7" s="48"/>
    </row>
    <row r="8" spans="1:18" x14ac:dyDescent="0.3">
      <c r="A8" s="48"/>
      <c r="B8" s="48"/>
      <c r="C8" s="48"/>
      <c r="D8" s="48"/>
      <c r="E8" s="48"/>
      <c r="F8" s="48"/>
      <c r="G8" s="48"/>
      <c r="H8" s="48"/>
      <c r="I8" s="48"/>
      <c r="J8" s="48"/>
      <c r="K8" s="48"/>
      <c r="L8" s="48"/>
      <c r="M8" s="48"/>
      <c r="N8" s="48"/>
      <c r="O8" s="48"/>
      <c r="P8" s="48"/>
      <c r="Q8" s="48"/>
      <c r="R8" s="48"/>
    </row>
    <row r="9" spans="1:18" ht="14.4" customHeight="1" x14ac:dyDescent="0.3">
      <c r="A9" s="48"/>
      <c r="B9" s="48"/>
      <c r="C9" s="48"/>
      <c r="D9" s="48"/>
      <c r="E9" s="48"/>
      <c r="F9" s="47" t="s">
        <v>155</v>
      </c>
      <c r="G9" s="47"/>
      <c r="H9" s="47"/>
      <c r="I9" s="48"/>
      <c r="J9" s="47" t="s">
        <v>156</v>
      </c>
      <c r="K9" s="47"/>
      <c r="L9" s="47"/>
      <c r="M9" s="47"/>
      <c r="N9" s="48"/>
      <c r="O9" s="47" t="s">
        <v>108</v>
      </c>
      <c r="P9" s="47"/>
      <c r="Q9" s="47"/>
      <c r="R9" s="48"/>
    </row>
    <row r="10" spans="1:18" ht="14.4" customHeight="1" x14ac:dyDescent="0.3">
      <c r="A10" s="48"/>
      <c r="B10" s="48"/>
      <c r="C10" s="48"/>
      <c r="D10" s="48"/>
      <c r="E10" s="48"/>
      <c r="F10" s="47"/>
      <c r="G10" s="47"/>
      <c r="H10" s="47"/>
      <c r="I10" s="48"/>
      <c r="J10" s="47"/>
      <c r="K10" s="47"/>
      <c r="L10" s="47"/>
      <c r="M10" s="47"/>
      <c r="N10" s="48"/>
      <c r="O10" s="47"/>
      <c r="P10" s="47"/>
      <c r="Q10" s="47"/>
      <c r="R10" s="48"/>
    </row>
    <row r="11" spans="1:18" ht="14.4" customHeight="1" x14ac:dyDescent="0.3">
      <c r="A11" s="48"/>
      <c r="B11" s="48"/>
      <c r="C11" s="48"/>
      <c r="D11" s="48"/>
      <c r="E11" s="48"/>
      <c r="F11" s="50">
        <f>SUMPRODUCT(Clean_Data!D2:D100000,Clean_Data!F2:F100000)</f>
        <v>23073.349999999984</v>
      </c>
      <c r="G11" s="50"/>
      <c r="H11" s="50"/>
      <c r="I11" s="48"/>
      <c r="J11" s="50">
        <f>COUNTA(Clean_Data!A2:A100000)</f>
        <v>500</v>
      </c>
      <c r="K11" s="50"/>
      <c r="L11" s="50"/>
      <c r="M11" s="50"/>
      <c r="N11" s="48"/>
      <c r="O11" s="51">
        <f>SUMPRODUCT(Clean_Data!D2:D100000,Clean_Data!F2:F100000)</f>
        <v>23073.349999999984</v>
      </c>
      <c r="P11" s="52"/>
      <c r="Q11" s="53"/>
      <c r="R11" s="48"/>
    </row>
    <row r="12" spans="1:18" ht="14.4" customHeight="1" x14ac:dyDescent="0.3">
      <c r="A12" s="48"/>
      <c r="B12" s="48"/>
      <c r="C12" s="48"/>
      <c r="D12" s="48"/>
      <c r="E12" s="48"/>
      <c r="F12" s="50"/>
      <c r="G12" s="50"/>
      <c r="H12" s="50"/>
      <c r="I12" s="48"/>
      <c r="J12" s="50"/>
      <c r="K12" s="50"/>
      <c r="L12" s="50"/>
      <c r="M12" s="50"/>
      <c r="N12" s="48"/>
      <c r="O12" s="54"/>
      <c r="P12" s="55"/>
      <c r="Q12" s="56"/>
      <c r="R12" s="48"/>
    </row>
    <row r="13" spans="1:18" ht="14.4" customHeight="1" x14ac:dyDescent="0.3">
      <c r="A13" s="48"/>
      <c r="B13" s="48"/>
      <c r="C13" s="48"/>
      <c r="D13" s="48"/>
      <c r="E13" s="48"/>
      <c r="F13" s="50"/>
      <c r="G13" s="50"/>
      <c r="H13" s="50"/>
      <c r="I13" s="48"/>
      <c r="J13" s="50"/>
      <c r="K13" s="50"/>
      <c r="L13" s="50"/>
      <c r="M13" s="50"/>
      <c r="N13" s="48"/>
      <c r="O13" s="57"/>
      <c r="P13" s="58"/>
      <c r="Q13" s="59"/>
      <c r="R13" s="48"/>
    </row>
    <row r="14" spans="1:18" x14ac:dyDescent="0.3">
      <c r="A14" s="48"/>
      <c r="B14" s="48"/>
      <c r="C14" s="48"/>
      <c r="D14" s="48"/>
      <c r="E14" s="48"/>
      <c r="F14" s="48"/>
      <c r="G14" s="48"/>
      <c r="H14" s="48"/>
      <c r="I14" s="48"/>
      <c r="J14" s="48"/>
      <c r="K14" s="48"/>
      <c r="L14" s="48"/>
      <c r="M14" s="48"/>
      <c r="N14" s="48"/>
      <c r="O14" s="48"/>
      <c r="P14" s="48"/>
      <c r="Q14" s="48"/>
      <c r="R14" s="48"/>
    </row>
    <row r="15" spans="1:18" x14ac:dyDescent="0.3">
      <c r="A15" s="48"/>
      <c r="B15" s="48"/>
      <c r="C15" s="48"/>
      <c r="D15" s="48"/>
      <c r="E15" s="48"/>
      <c r="F15" s="48"/>
      <c r="G15" s="48"/>
      <c r="H15" s="48"/>
      <c r="I15" s="48"/>
      <c r="J15" s="48"/>
      <c r="K15" s="48"/>
      <c r="L15" s="48"/>
      <c r="M15" s="48"/>
      <c r="N15" s="48"/>
      <c r="O15" s="48"/>
      <c r="P15" s="48"/>
      <c r="Q15" s="48"/>
      <c r="R15" s="48"/>
    </row>
    <row r="16" spans="1:18" x14ac:dyDescent="0.3">
      <c r="A16" s="48"/>
      <c r="B16" s="48"/>
      <c r="C16" s="48"/>
      <c r="D16" s="48"/>
      <c r="E16" s="48"/>
      <c r="F16" s="48"/>
      <c r="G16" s="48"/>
      <c r="H16" s="48"/>
      <c r="I16" s="48"/>
      <c r="J16" s="48"/>
      <c r="K16" s="48"/>
      <c r="L16" s="48"/>
      <c r="M16" s="48"/>
      <c r="N16" s="48"/>
      <c r="O16" s="48"/>
      <c r="P16" s="48"/>
      <c r="Q16" s="48"/>
      <c r="R16" s="48"/>
    </row>
    <row r="17" spans="1:18" x14ac:dyDescent="0.3">
      <c r="A17" s="48"/>
      <c r="B17" s="48"/>
      <c r="C17" s="48"/>
      <c r="D17" s="48"/>
      <c r="E17" s="48"/>
      <c r="F17" s="48"/>
      <c r="G17" s="48"/>
      <c r="H17" s="48"/>
      <c r="I17" s="48"/>
      <c r="J17" s="48"/>
      <c r="K17" s="48"/>
      <c r="L17" s="48"/>
      <c r="M17" s="48"/>
      <c r="N17" s="48"/>
      <c r="O17" s="48"/>
      <c r="P17" s="48"/>
      <c r="Q17" s="48"/>
      <c r="R17" s="48"/>
    </row>
    <row r="18" spans="1:18" x14ac:dyDescent="0.3">
      <c r="A18" s="48"/>
      <c r="B18" s="48"/>
      <c r="C18" s="48"/>
      <c r="D18" s="48"/>
      <c r="E18" s="48"/>
      <c r="F18" s="48"/>
      <c r="G18" s="48"/>
      <c r="H18" s="48"/>
      <c r="I18" s="48"/>
      <c r="J18" s="48"/>
      <c r="K18" s="48"/>
      <c r="L18" s="48"/>
      <c r="M18" s="48"/>
      <c r="N18" s="48"/>
      <c r="O18" s="48"/>
      <c r="P18" s="48"/>
      <c r="Q18" s="48"/>
      <c r="R18" s="48"/>
    </row>
    <row r="19" spans="1:18" x14ac:dyDescent="0.3">
      <c r="A19" s="48"/>
      <c r="B19" s="48"/>
      <c r="C19" s="48"/>
      <c r="D19" s="48"/>
      <c r="E19" s="48"/>
      <c r="F19" s="48"/>
      <c r="G19" s="48"/>
      <c r="H19" s="48"/>
      <c r="I19" s="48"/>
      <c r="J19" s="48"/>
      <c r="K19" s="48"/>
      <c r="L19" s="48"/>
      <c r="M19" s="48"/>
      <c r="N19" s="48"/>
      <c r="O19" s="48"/>
      <c r="P19" s="48"/>
      <c r="Q19" s="48"/>
      <c r="R19" s="48"/>
    </row>
    <row r="20" spans="1:18" x14ac:dyDescent="0.3">
      <c r="A20" s="48"/>
      <c r="B20" s="48"/>
      <c r="C20" s="48"/>
      <c r="D20" s="48"/>
      <c r="E20" s="48"/>
      <c r="F20" s="48"/>
      <c r="G20" s="48"/>
      <c r="H20" s="48"/>
      <c r="I20" s="48"/>
      <c r="J20" s="48"/>
      <c r="K20" s="48"/>
      <c r="L20" s="48"/>
      <c r="M20" s="48"/>
      <c r="N20" s="48"/>
      <c r="O20" s="48"/>
      <c r="P20" s="48"/>
      <c r="Q20" s="48"/>
      <c r="R20" s="48"/>
    </row>
    <row r="21" spans="1:18" x14ac:dyDescent="0.3">
      <c r="A21" s="48"/>
      <c r="B21" s="48"/>
      <c r="C21" s="48"/>
      <c r="D21" s="48"/>
      <c r="E21" s="48"/>
      <c r="F21" s="48"/>
      <c r="G21" s="48"/>
      <c r="H21" s="48"/>
      <c r="I21" s="48"/>
      <c r="J21" s="48"/>
      <c r="K21" s="48"/>
      <c r="L21" s="48"/>
      <c r="M21" s="48"/>
      <c r="N21" s="48"/>
      <c r="O21" s="48"/>
      <c r="P21" s="48"/>
      <c r="Q21" s="48"/>
      <c r="R21" s="48"/>
    </row>
    <row r="22" spans="1:18" x14ac:dyDescent="0.3">
      <c r="A22" s="48"/>
      <c r="B22" s="48"/>
      <c r="C22" s="48"/>
      <c r="D22" s="48"/>
      <c r="E22" s="48"/>
      <c r="F22" s="48"/>
      <c r="G22" s="48"/>
      <c r="H22" s="48"/>
      <c r="I22" s="48"/>
      <c r="J22" s="48"/>
      <c r="K22" s="48"/>
      <c r="L22" s="48"/>
      <c r="M22" s="48"/>
      <c r="N22" s="48"/>
      <c r="O22" s="48"/>
      <c r="P22" s="48"/>
      <c r="Q22" s="48"/>
      <c r="R22" s="48"/>
    </row>
    <row r="23" spans="1:18" x14ac:dyDescent="0.3">
      <c r="A23" s="48"/>
      <c r="B23" s="48"/>
      <c r="C23" s="48"/>
      <c r="D23" s="48"/>
      <c r="E23" s="48"/>
      <c r="F23" s="48"/>
      <c r="G23" s="48"/>
      <c r="H23" s="48"/>
      <c r="I23" s="48"/>
      <c r="J23" s="48"/>
      <c r="K23" s="48"/>
      <c r="L23" s="48"/>
      <c r="M23" s="48"/>
      <c r="N23" s="48"/>
      <c r="O23" s="48"/>
      <c r="P23" s="48"/>
      <c r="Q23" s="48"/>
      <c r="R23" s="48"/>
    </row>
    <row r="24" spans="1:18" x14ac:dyDescent="0.3">
      <c r="A24" s="48"/>
      <c r="B24" s="48"/>
      <c r="C24" s="48"/>
      <c r="D24" s="48"/>
      <c r="E24" s="48"/>
      <c r="F24" s="48"/>
      <c r="G24" s="48"/>
      <c r="H24" s="48"/>
      <c r="I24" s="48"/>
      <c r="J24" s="48"/>
      <c r="K24" s="48"/>
      <c r="L24" s="48"/>
      <c r="M24" s="48"/>
      <c r="N24" s="48"/>
      <c r="O24" s="48"/>
      <c r="P24" s="48"/>
      <c r="Q24" s="48"/>
      <c r="R24" s="48"/>
    </row>
    <row r="25" spans="1:18" x14ac:dyDescent="0.3">
      <c r="A25" s="48"/>
      <c r="B25" s="48"/>
      <c r="C25" s="48"/>
      <c r="D25" s="48"/>
      <c r="E25" s="48"/>
      <c r="F25" s="48"/>
      <c r="G25" s="48"/>
      <c r="H25" s="48"/>
      <c r="I25" s="48"/>
      <c r="J25" s="48"/>
      <c r="K25" s="48"/>
      <c r="L25" s="48"/>
      <c r="M25" s="48"/>
      <c r="N25" s="48"/>
      <c r="O25" s="48"/>
      <c r="P25" s="48"/>
      <c r="Q25" s="48"/>
      <c r="R25" s="48"/>
    </row>
    <row r="26" spans="1:18" x14ac:dyDescent="0.3">
      <c r="A26" s="48"/>
      <c r="B26" s="48"/>
      <c r="C26" s="48"/>
      <c r="D26" s="48"/>
      <c r="E26" s="48"/>
      <c r="F26" s="48"/>
      <c r="G26" s="48"/>
      <c r="H26" s="48"/>
      <c r="I26" s="48"/>
      <c r="J26" s="48"/>
      <c r="K26" s="48"/>
      <c r="L26" s="48"/>
      <c r="M26" s="48"/>
      <c r="N26" s="48"/>
      <c r="O26" s="48"/>
      <c r="P26" s="48"/>
      <c r="Q26" s="48"/>
      <c r="R26" s="48"/>
    </row>
    <row r="27" spans="1:18" x14ac:dyDescent="0.3">
      <c r="A27" s="48"/>
      <c r="B27" s="48"/>
      <c r="C27" s="48"/>
      <c r="D27" s="48"/>
      <c r="E27" s="48"/>
      <c r="F27" s="48"/>
      <c r="G27" s="48"/>
      <c r="H27" s="48"/>
      <c r="I27" s="48"/>
      <c r="J27" s="48"/>
      <c r="K27" s="48"/>
      <c r="L27" s="48"/>
      <c r="M27" s="48"/>
      <c r="N27" s="48"/>
      <c r="O27" s="48"/>
      <c r="P27" s="48"/>
      <c r="Q27" s="48"/>
      <c r="R27" s="48"/>
    </row>
    <row r="28" spans="1:18" x14ac:dyDescent="0.3">
      <c r="A28" s="48"/>
      <c r="B28" s="48"/>
      <c r="C28" s="48"/>
      <c r="D28" s="48"/>
      <c r="E28" s="48"/>
      <c r="F28" s="48"/>
      <c r="G28" s="48"/>
      <c r="H28" s="48"/>
      <c r="I28" s="48"/>
      <c r="J28" s="48"/>
      <c r="K28" s="48"/>
      <c r="L28" s="48"/>
      <c r="M28" s="48"/>
      <c r="N28" s="48"/>
      <c r="O28" s="48"/>
      <c r="P28" s="48"/>
      <c r="Q28" s="48"/>
      <c r="R28" s="48"/>
    </row>
    <row r="29" spans="1:18" x14ac:dyDescent="0.3">
      <c r="A29" s="48"/>
      <c r="B29" s="48"/>
      <c r="C29" s="48"/>
      <c r="D29" s="48"/>
      <c r="E29" s="48"/>
      <c r="F29" s="48"/>
      <c r="G29" s="48"/>
      <c r="H29" s="48"/>
      <c r="I29" s="48"/>
      <c r="J29" s="48"/>
      <c r="K29" s="48"/>
      <c r="L29" s="48"/>
      <c r="M29" s="48"/>
      <c r="N29" s="48"/>
      <c r="O29" s="48"/>
      <c r="P29" s="48"/>
      <c r="Q29" s="48"/>
      <c r="R29" s="48"/>
    </row>
    <row r="30" spans="1:18" x14ac:dyDescent="0.3">
      <c r="A30" s="48"/>
      <c r="B30" s="48"/>
      <c r="C30" s="48"/>
      <c r="D30" s="48"/>
      <c r="E30" s="48"/>
      <c r="F30" s="48"/>
      <c r="G30" s="48"/>
      <c r="H30" s="48"/>
      <c r="I30" s="48"/>
      <c r="J30" s="48"/>
      <c r="K30" s="48"/>
      <c r="L30" s="48"/>
      <c r="M30" s="48"/>
      <c r="N30" s="48"/>
      <c r="O30" s="48"/>
      <c r="P30" s="48"/>
      <c r="Q30" s="48"/>
      <c r="R30" s="48"/>
    </row>
    <row r="31" spans="1:18" x14ac:dyDescent="0.3">
      <c r="A31" s="48"/>
      <c r="B31" s="48"/>
      <c r="C31" s="48"/>
      <c r="D31" s="48"/>
      <c r="E31" s="48"/>
      <c r="F31" s="48"/>
      <c r="G31" s="48"/>
      <c r="H31" s="48"/>
      <c r="I31" s="48"/>
      <c r="J31" s="48"/>
      <c r="K31" s="48"/>
      <c r="L31" s="48"/>
      <c r="M31" s="48"/>
      <c r="N31" s="48"/>
      <c r="O31" s="48"/>
      <c r="P31" s="48"/>
      <c r="Q31" s="48"/>
      <c r="R31" s="48"/>
    </row>
    <row r="32" spans="1:18" x14ac:dyDescent="0.3">
      <c r="A32" s="48"/>
      <c r="B32" s="48"/>
      <c r="C32" s="48"/>
      <c r="D32" s="48"/>
      <c r="E32" s="48"/>
      <c r="F32" s="48"/>
      <c r="G32" s="48"/>
      <c r="H32" s="48"/>
      <c r="I32" s="48"/>
      <c r="J32" s="48"/>
      <c r="K32" s="48"/>
      <c r="L32" s="48"/>
      <c r="M32" s="48"/>
      <c r="N32" s="48"/>
      <c r="O32" s="48"/>
      <c r="P32" s="48"/>
      <c r="Q32" s="48"/>
      <c r="R32" s="48"/>
    </row>
    <row r="33" spans="1:18" x14ac:dyDescent="0.3">
      <c r="A33" s="48"/>
      <c r="B33" s="48"/>
      <c r="C33" s="48"/>
      <c r="D33" s="48"/>
      <c r="E33" s="48"/>
      <c r="F33" s="48"/>
      <c r="G33" s="48"/>
      <c r="H33" s="48"/>
      <c r="I33" s="48"/>
      <c r="J33" s="48"/>
      <c r="K33" s="48"/>
      <c r="L33" s="48"/>
      <c r="M33" s="48"/>
      <c r="N33" s="48"/>
      <c r="O33" s="48"/>
      <c r="P33" s="48"/>
      <c r="Q33" s="48"/>
      <c r="R33" s="48"/>
    </row>
    <row r="34" spans="1:18" x14ac:dyDescent="0.3">
      <c r="A34" s="48"/>
      <c r="B34" s="48"/>
      <c r="C34" s="48"/>
      <c r="D34" s="48"/>
      <c r="E34" s="48"/>
      <c r="F34" s="48"/>
      <c r="G34" s="48"/>
      <c r="H34" s="48"/>
      <c r="I34" s="48"/>
      <c r="J34" s="48"/>
      <c r="K34" s="48"/>
      <c r="L34" s="48"/>
      <c r="M34" s="48"/>
      <c r="N34" s="48"/>
      <c r="O34" s="48"/>
      <c r="P34" s="48"/>
      <c r="Q34" s="48"/>
      <c r="R34" s="48"/>
    </row>
    <row r="35" spans="1:18" x14ac:dyDescent="0.3">
      <c r="A35" s="48"/>
      <c r="B35" s="48"/>
      <c r="C35" s="48"/>
      <c r="D35" s="48"/>
      <c r="E35" s="48"/>
      <c r="F35" s="48"/>
      <c r="G35" s="48"/>
      <c r="H35" s="48"/>
      <c r="I35" s="48"/>
      <c r="J35" s="48"/>
      <c r="K35" s="48"/>
      <c r="L35" s="48"/>
      <c r="M35" s="48"/>
      <c r="N35" s="48"/>
      <c r="O35" s="48"/>
      <c r="P35" s="48"/>
      <c r="Q35" s="48"/>
      <c r="R35" s="48"/>
    </row>
    <row r="36" spans="1:18" x14ac:dyDescent="0.3">
      <c r="A36" s="48"/>
      <c r="B36" s="48"/>
      <c r="C36" s="48"/>
      <c r="D36" s="48"/>
      <c r="E36" s="48"/>
      <c r="F36" s="48"/>
      <c r="G36" s="48"/>
      <c r="H36" s="48"/>
      <c r="I36" s="48"/>
      <c r="J36" s="48"/>
      <c r="K36" s="48"/>
      <c r="L36" s="48"/>
      <c r="M36" s="48"/>
      <c r="N36" s="48"/>
      <c r="O36" s="48"/>
      <c r="P36" s="48"/>
      <c r="Q36" s="48"/>
      <c r="R36" s="48"/>
    </row>
    <row r="37" spans="1:18" x14ac:dyDescent="0.3">
      <c r="A37" s="48"/>
      <c r="B37" s="48"/>
      <c r="C37" s="48"/>
      <c r="D37" s="48"/>
      <c r="E37" s="48"/>
      <c r="F37" s="48"/>
      <c r="G37" s="48"/>
      <c r="H37" s="48"/>
      <c r="I37" s="48"/>
      <c r="J37" s="48"/>
      <c r="K37" s="48"/>
      <c r="L37" s="48"/>
      <c r="M37" s="48"/>
      <c r="N37" s="48"/>
      <c r="O37" s="48"/>
      <c r="P37" s="48"/>
      <c r="Q37" s="48"/>
      <c r="R37" s="48"/>
    </row>
    <row r="38" spans="1:18" x14ac:dyDescent="0.3">
      <c r="A38" s="48"/>
      <c r="B38" s="48"/>
      <c r="C38" s="48"/>
      <c r="D38" s="48"/>
      <c r="E38" s="48"/>
      <c r="F38" s="48"/>
      <c r="G38" s="48"/>
      <c r="H38" s="48"/>
      <c r="I38" s="48"/>
      <c r="J38" s="48"/>
      <c r="K38" s="48"/>
      <c r="L38" s="48"/>
      <c r="M38" s="48"/>
      <c r="N38" s="48"/>
      <c r="O38" s="48"/>
      <c r="P38" s="48"/>
      <c r="Q38" s="48"/>
      <c r="R38" s="48"/>
    </row>
    <row r="39" spans="1:18" x14ac:dyDescent="0.3">
      <c r="A39" s="48"/>
      <c r="B39" s="48"/>
      <c r="C39" s="48"/>
      <c r="D39" s="48"/>
      <c r="E39" s="48"/>
      <c r="F39" s="48"/>
      <c r="G39" s="48"/>
      <c r="H39" s="48"/>
      <c r="I39" s="48"/>
      <c r="J39" s="48"/>
      <c r="K39" s="48"/>
      <c r="L39" s="48"/>
      <c r="M39" s="48"/>
      <c r="N39" s="48"/>
      <c r="O39" s="48"/>
      <c r="P39" s="48"/>
      <c r="Q39" s="48"/>
      <c r="R39" s="48"/>
    </row>
    <row r="40" spans="1:18" x14ac:dyDescent="0.3">
      <c r="A40" s="48"/>
      <c r="B40" s="48"/>
      <c r="C40" s="48"/>
      <c r="D40" s="48"/>
      <c r="E40" s="48"/>
      <c r="F40" s="48"/>
      <c r="G40" s="48"/>
      <c r="H40" s="48"/>
      <c r="I40" s="48"/>
      <c r="J40" s="48"/>
      <c r="K40" s="48"/>
      <c r="L40" s="48"/>
      <c r="M40" s="48"/>
      <c r="N40" s="48"/>
      <c r="O40" s="48"/>
      <c r="P40" s="48"/>
      <c r="Q40" s="48"/>
      <c r="R40" s="48"/>
    </row>
    <row r="41" spans="1:18" x14ac:dyDescent="0.3">
      <c r="A41" s="48"/>
      <c r="B41" s="48"/>
      <c r="C41" s="48"/>
      <c r="D41" s="48"/>
      <c r="E41" s="48"/>
      <c r="F41" s="48"/>
      <c r="G41" s="48"/>
      <c r="H41" s="48"/>
      <c r="I41" s="48"/>
      <c r="J41" s="48"/>
      <c r="K41" s="48"/>
      <c r="L41" s="48"/>
      <c r="M41" s="48"/>
      <c r="N41" s="48"/>
      <c r="O41" s="48"/>
      <c r="P41" s="48"/>
      <c r="Q41" s="48"/>
      <c r="R41" s="48"/>
    </row>
    <row r="42" spans="1:18" x14ac:dyDescent="0.3">
      <c r="A42" s="48"/>
      <c r="B42" s="48"/>
      <c r="C42" s="48"/>
      <c r="D42" s="48"/>
      <c r="E42" s="48"/>
      <c r="F42" s="48"/>
      <c r="G42" s="48"/>
      <c r="H42" s="48"/>
      <c r="I42" s="48"/>
      <c r="J42" s="48"/>
      <c r="K42" s="48"/>
      <c r="L42" s="48"/>
      <c r="M42" s="48"/>
      <c r="N42" s="48"/>
      <c r="O42" s="48"/>
      <c r="P42" s="48"/>
      <c r="Q42" s="48"/>
      <c r="R42" s="48"/>
    </row>
    <row r="43" spans="1:18" x14ac:dyDescent="0.3">
      <c r="A43" s="48"/>
      <c r="B43" s="48"/>
      <c r="C43" s="48"/>
      <c r="D43" s="48"/>
      <c r="E43" s="48"/>
      <c r="F43" s="48"/>
      <c r="G43" s="48"/>
      <c r="H43" s="48"/>
      <c r="I43" s="48"/>
      <c r="J43" s="48"/>
      <c r="K43" s="48"/>
      <c r="L43" s="48"/>
      <c r="M43" s="48"/>
      <c r="N43" s="48"/>
      <c r="O43" s="48"/>
      <c r="P43" s="48"/>
      <c r="Q43" s="48"/>
      <c r="R43" s="48"/>
    </row>
    <row r="44" spans="1:18" x14ac:dyDescent="0.3">
      <c r="A44" s="48"/>
      <c r="B44" s="48"/>
      <c r="C44" s="48"/>
      <c r="D44" s="48"/>
      <c r="E44" s="48"/>
      <c r="F44" s="48"/>
      <c r="G44" s="48"/>
      <c r="H44" s="48"/>
      <c r="I44" s="48"/>
      <c r="J44" s="48"/>
      <c r="K44" s="48"/>
      <c r="L44" s="48"/>
      <c r="M44" s="48"/>
      <c r="N44" s="48"/>
      <c r="O44" s="48"/>
      <c r="P44" s="48"/>
      <c r="Q44" s="48"/>
      <c r="R44" s="48"/>
    </row>
    <row r="45" spans="1:18" x14ac:dyDescent="0.3">
      <c r="A45" s="48"/>
      <c r="B45" s="48"/>
      <c r="C45" s="48"/>
      <c r="D45" s="48"/>
      <c r="E45" s="48"/>
      <c r="F45" s="48"/>
      <c r="G45" s="48"/>
      <c r="H45" s="48"/>
      <c r="I45" s="48"/>
      <c r="J45" s="48"/>
      <c r="K45" s="48"/>
      <c r="L45" s="48"/>
      <c r="M45" s="48"/>
      <c r="N45" s="48"/>
      <c r="O45" s="48"/>
      <c r="P45" s="48"/>
      <c r="Q45" s="48"/>
      <c r="R45" s="48"/>
    </row>
    <row r="46" spans="1:18" x14ac:dyDescent="0.3">
      <c r="A46" s="48"/>
      <c r="B46" s="48"/>
      <c r="C46" s="48"/>
      <c r="D46" s="48"/>
      <c r="E46" s="48"/>
      <c r="F46" s="48"/>
      <c r="G46" s="48"/>
      <c r="H46" s="48"/>
      <c r="I46" s="48"/>
      <c r="J46" s="48"/>
      <c r="K46" s="48"/>
      <c r="L46" s="48"/>
      <c r="M46" s="48"/>
      <c r="N46" s="48"/>
      <c r="O46" s="48"/>
      <c r="P46" s="48"/>
      <c r="Q46" s="48"/>
      <c r="R46" s="48"/>
    </row>
    <row r="47" spans="1:18" x14ac:dyDescent="0.3">
      <c r="A47" s="48"/>
      <c r="B47" s="48"/>
      <c r="C47" s="48"/>
      <c r="D47" s="48"/>
      <c r="E47" s="48"/>
      <c r="F47" s="48"/>
      <c r="G47" s="48"/>
      <c r="H47" s="48"/>
      <c r="I47" s="48"/>
      <c r="J47" s="48"/>
      <c r="K47" s="48"/>
      <c r="L47" s="48"/>
      <c r="M47" s="48"/>
      <c r="N47" s="48"/>
      <c r="O47" s="48"/>
      <c r="P47" s="48"/>
      <c r="Q47" s="48"/>
      <c r="R47" s="48"/>
    </row>
    <row r="48" spans="1:18" x14ac:dyDescent="0.3">
      <c r="A48" s="48"/>
      <c r="B48" s="48"/>
      <c r="C48" s="48"/>
      <c r="D48" s="48"/>
      <c r="E48" s="48"/>
      <c r="F48" s="48"/>
      <c r="G48" s="48"/>
      <c r="H48" s="48"/>
      <c r="I48" s="48"/>
      <c r="J48" s="48"/>
      <c r="K48" s="48"/>
      <c r="L48" s="48"/>
      <c r="M48" s="48"/>
      <c r="N48" s="48"/>
      <c r="O48" s="48"/>
      <c r="P48" s="48"/>
      <c r="Q48" s="48"/>
      <c r="R48" s="48"/>
    </row>
    <row r="49" spans="1:19" x14ac:dyDescent="0.3">
      <c r="A49" s="48"/>
      <c r="B49" s="48"/>
      <c r="C49" s="48"/>
      <c r="D49" s="48"/>
      <c r="E49" s="48"/>
      <c r="F49" s="48"/>
      <c r="G49" s="48"/>
      <c r="H49" s="48"/>
      <c r="I49" s="48"/>
      <c r="J49" s="48"/>
      <c r="K49" s="48"/>
      <c r="L49" s="48"/>
      <c r="M49" s="48"/>
      <c r="N49" s="48"/>
      <c r="O49" s="48"/>
      <c r="P49" s="48"/>
      <c r="Q49" s="48"/>
      <c r="R49" s="48"/>
    </row>
    <row r="50" spans="1:19" x14ac:dyDescent="0.3">
      <c r="A50" s="48"/>
      <c r="B50" s="48"/>
      <c r="C50" s="48"/>
      <c r="D50" s="48"/>
      <c r="E50" s="48"/>
      <c r="F50" s="48"/>
      <c r="G50" s="48"/>
      <c r="H50" s="48"/>
      <c r="I50" s="48"/>
      <c r="J50" s="48"/>
      <c r="K50" s="48"/>
      <c r="L50" s="48"/>
      <c r="M50" s="48"/>
      <c r="N50" s="48"/>
      <c r="O50" s="48"/>
      <c r="P50" s="48"/>
      <c r="Q50" s="48"/>
      <c r="R50" s="48"/>
    </row>
    <row r="51" spans="1:19" x14ac:dyDescent="0.3">
      <c r="A51" s="48"/>
      <c r="B51" s="48"/>
      <c r="C51" s="48"/>
      <c r="D51" s="48"/>
      <c r="E51" s="48"/>
      <c r="F51" s="48"/>
      <c r="G51" s="48"/>
      <c r="H51" s="48"/>
      <c r="I51" s="48"/>
      <c r="J51" s="48"/>
      <c r="K51" s="48"/>
      <c r="L51" s="48"/>
      <c r="M51" s="48"/>
      <c r="N51" s="48"/>
      <c r="O51" s="48"/>
      <c r="P51" s="48"/>
      <c r="Q51" s="48"/>
      <c r="R51" s="48"/>
    </row>
    <row r="52" spans="1:19" x14ac:dyDescent="0.3">
      <c r="A52" s="48"/>
      <c r="B52" s="48"/>
      <c r="C52" s="48"/>
      <c r="D52" s="48"/>
      <c r="E52" s="48"/>
      <c r="F52" s="48"/>
      <c r="G52" s="48"/>
      <c r="H52" s="48"/>
      <c r="I52" s="48"/>
      <c r="J52" s="48"/>
      <c r="K52" s="48"/>
      <c r="L52" s="48"/>
      <c r="M52" s="48"/>
      <c r="N52" s="48"/>
      <c r="O52" s="48"/>
      <c r="P52" s="48"/>
      <c r="Q52" s="48"/>
      <c r="R52" s="48"/>
    </row>
    <row r="53" spans="1:19" x14ac:dyDescent="0.3">
      <c r="A53" s="48"/>
      <c r="B53" s="48"/>
      <c r="C53" s="48"/>
      <c r="D53" s="48"/>
      <c r="E53" s="48"/>
      <c r="F53" s="48"/>
      <c r="G53" s="48"/>
      <c r="H53" s="48"/>
      <c r="I53" s="48"/>
      <c r="J53" s="48"/>
      <c r="K53" s="48"/>
      <c r="L53" s="48"/>
      <c r="M53" s="48"/>
      <c r="N53" s="48"/>
      <c r="O53" s="48"/>
      <c r="P53" s="48"/>
      <c r="Q53" s="48"/>
      <c r="R53" s="48"/>
    </row>
    <row r="54" spans="1:19" x14ac:dyDescent="0.3">
      <c r="A54" s="48"/>
      <c r="B54" s="48"/>
      <c r="C54" s="48"/>
      <c r="D54" s="48"/>
      <c r="E54" s="48"/>
      <c r="F54" s="48"/>
      <c r="G54" s="48"/>
      <c r="H54" s="48"/>
      <c r="I54" s="48"/>
      <c r="J54" s="48"/>
      <c r="K54" s="48"/>
      <c r="L54" s="48"/>
      <c r="M54" s="48"/>
      <c r="N54" s="48"/>
      <c r="O54" s="48"/>
      <c r="P54" s="48"/>
      <c r="Q54" s="48"/>
      <c r="R54" s="48"/>
    </row>
    <row r="55" spans="1:19" x14ac:dyDescent="0.3">
      <c r="A55" s="48"/>
      <c r="B55" s="48"/>
      <c r="C55" s="48"/>
      <c r="D55" s="48"/>
      <c r="E55" s="48"/>
      <c r="F55" s="48"/>
      <c r="G55" s="48"/>
      <c r="H55" s="48"/>
      <c r="I55" s="48"/>
      <c r="J55" s="48"/>
      <c r="K55" s="48"/>
      <c r="L55" s="48"/>
      <c r="M55" s="48"/>
      <c r="N55" s="48"/>
      <c r="O55" s="48"/>
      <c r="P55" s="48"/>
      <c r="Q55" s="48"/>
      <c r="R55" s="48"/>
    </row>
    <row r="56" spans="1:19" x14ac:dyDescent="0.3">
      <c r="A56" s="48"/>
      <c r="B56" s="48"/>
      <c r="C56" s="48"/>
      <c r="D56" s="48"/>
      <c r="E56" s="48"/>
      <c r="F56" s="48"/>
      <c r="G56" s="48"/>
      <c r="H56" s="48"/>
      <c r="I56" s="48"/>
      <c r="J56" s="48"/>
      <c r="K56" s="48"/>
      <c r="L56" s="48"/>
      <c r="M56" s="48"/>
      <c r="N56" s="48"/>
      <c r="O56" s="48"/>
      <c r="P56" s="48"/>
      <c r="Q56" s="48"/>
      <c r="R56" s="48"/>
    </row>
    <row r="57" spans="1:19" x14ac:dyDescent="0.3">
      <c r="A57" s="48"/>
      <c r="B57" s="48"/>
      <c r="C57" s="48"/>
      <c r="D57" s="48"/>
      <c r="E57" s="48"/>
      <c r="F57" s="48"/>
      <c r="G57" s="48"/>
      <c r="H57" s="48"/>
      <c r="I57" s="48"/>
      <c r="J57" s="48"/>
      <c r="K57" s="48"/>
      <c r="L57" s="48"/>
      <c r="M57" s="48"/>
      <c r="N57" s="48"/>
      <c r="O57" s="48"/>
      <c r="P57" s="48"/>
      <c r="Q57" s="48"/>
      <c r="R57" s="48"/>
    </row>
    <row r="58" spans="1:19" x14ac:dyDescent="0.3">
      <c r="A58" s="48"/>
      <c r="B58" s="48"/>
      <c r="C58" s="48"/>
      <c r="D58" s="48"/>
      <c r="E58" s="48"/>
      <c r="F58" s="48"/>
      <c r="G58" s="48"/>
      <c r="H58" s="48"/>
      <c r="I58" s="48"/>
      <c r="J58" s="48"/>
      <c r="K58" s="48"/>
      <c r="L58" s="48"/>
      <c r="M58" s="48"/>
      <c r="N58" s="48"/>
      <c r="O58" s="48"/>
      <c r="P58" s="48"/>
      <c r="Q58" s="48"/>
      <c r="R58" s="48"/>
    </row>
    <row r="59" spans="1:19" x14ac:dyDescent="0.3">
      <c r="A59" s="48"/>
      <c r="B59" s="48"/>
      <c r="C59" s="48"/>
      <c r="D59" s="48"/>
      <c r="E59" s="48"/>
      <c r="F59" s="48"/>
      <c r="G59" s="48"/>
      <c r="H59" s="48"/>
      <c r="I59" s="48"/>
      <c r="J59" s="48"/>
      <c r="K59" s="48"/>
      <c r="L59" s="48"/>
      <c r="M59" s="48"/>
      <c r="N59" s="48"/>
      <c r="O59" s="48"/>
      <c r="P59" s="48"/>
      <c r="Q59" s="48"/>
      <c r="R59" s="48"/>
    </row>
    <row r="60" spans="1:19" x14ac:dyDescent="0.3">
      <c r="A60" s="48"/>
      <c r="B60" s="48"/>
      <c r="C60" s="48"/>
      <c r="D60" s="48"/>
      <c r="E60" s="48"/>
      <c r="F60" s="48"/>
      <c r="G60" s="48"/>
      <c r="H60" s="48"/>
      <c r="I60" s="48"/>
      <c r="J60" s="48"/>
      <c r="K60" s="48"/>
      <c r="L60" s="48"/>
      <c r="M60" s="48"/>
      <c r="N60" s="48"/>
      <c r="O60" s="48"/>
      <c r="P60" s="48"/>
      <c r="Q60" s="48"/>
      <c r="R60" s="48"/>
    </row>
    <row r="61" spans="1:19" x14ac:dyDescent="0.3">
      <c r="A61" s="48"/>
      <c r="B61" s="48"/>
      <c r="C61" s="48"/>
      <c r="D61" s="48"/>
      <c r="E61" s="48"/>
      <c r="F61" s="48"/>
      <c r="G61" s="48"/>
      <c r="H61" s="48"/>
      <c r="I61" s="48"/>
      <c r="J61" s="48"/>
      <c r="K61" s="48"/>
      <c r="L61" s="48"/>
      <c r="M61" s="48"/>
      <c r="N61" s="48"/>
      <c r="O61" s="48"/>
      <c r="P61" s="48"/>
      <c r="Q61" s="48"/>
      <c r="R61" s="48"/>
    </row>
    <row r="62" spans="1:19" x14ac:dyDescent="0.3">
      <c r="A62" s="61"/>
      <c r="B62" s="61"/>
      <c r="C62" s="61"/>
      <c r="D62" s="61"/>
      <c r="E62" s="61"/>
      <c r="F62" s="61"/>
      <c r="G62" s="61"/>
      <c r="H62" s="61"/>
      <c r="I62" s="61"/>
      <c r="J62" s="61"/>
      <c r="K62" s="61"/>
      <c r="L62" s="61"/>
      <c r="M62" s="61"/>
      <c r="N62" s="61"/>
      <c r="O62" s="61"/>
      <c r="P62" s="61"/>
      <c r="Q62" s="61"/>
      <c r="R62" s="61"/>
      <c r="S62" s="61"/>
    </row>
    <row r="63" spans="1:19" x14ac:dyDescent="0.3">
      <c r="A63" s="61"/>
      <c r="B63" s="61"/>
      <c r="C63" s="61"/>
      <c r="D63" s="61"/>
      <c r="E63" s="61"/>
      <c r="F63" s="61"/>
      <c r="G63" s="61"/>
      <c r="H63" s="61"/>
      <c r="I63" s="61"/>
      <c r="J63" s="61"/>
      <c r="K63" s="61"/>
      <c r="L63" s="61"/>
      <c r="M63" s="61"/>
      <c r="N63" s="61"/>
      <c r="O63" s="61"/>
      <c r="P63" s="61"/>
      <c r="Q63" s="61"/>
      <c r="R63" s="61"/>
      <c r="S63" s="61"/>
    </row>
    <row r="64" spans="1:19" x14ac:dyDescent="0.3">
      <c r="A64" s="61"/>
      <c r="B64" s="61"/>
      <c r="C64" s="61"/>
      <c r="D64" s="61"/>
      <c r="E64" s="61"/>
      <c r="F64" s="61"/>
      <c r="G64" s="61"/>
      <c r="H64" s="61"/>
      <c r="I64" s="61"/>
      <c r="J64" s="61"/>
      <c r="K64" s="61"/>
      <c r="L64" s="61"/>
      <c r="M64" s="61"/>
      <c r="N64" s="61"/>
      <c r="O64" s="61"/>
      <c r="P64" s="61"/>
      <c r="Q64" s="61"/>
      <c r="R64" s="61"/>
      <c r="S64" s="61"/>
    </row>
    <row r="65" spans="1:19" x14ac:dyDescent="0.3">
      <c r="A65" s="61"/>
      <c r="B65" s="61"/>
      <c r="C65" s="61"/>
      <c r="D65" s="61"/>
      <c r="E65" s="61"/>
      <c r="F65" s="61"/>
      <c r="G65" s="61"/>
      <c r="H65" s="61"/>
      <c r="I65" s="61"/>
      <c r="J65" s="61"/>
      <c r="K65" s="61"/>
      <c r="L65" s="61"/>
      <c r="M65" s="61"/>
      <c r="N65" s="61"/>
      <c r="O65" s="61"/>
      <c r="P65" s="61"/>
      <c r="Q65" s="61"/>
      <c r="R65" s="61"/>
      <c r="S65" s="61"/>
    </row>
    <row r="66" spans="1:19" x14ac:dyDescent="0.3">
      <c r="A66" s="61"/>
      <c r="B66" s="61"/>
      <c r="C66" s="61"/>
      <c r="D66" s="61"/>
      <c r="E66" s="61"/>
      <c r="F66" s="61"/>
      <c r="G66" s="61"/>
      <c r="H66" s="61"/>
      <c r="I66" s="61"/>
      <c r="J66" s="61"/>
      <c r="K66" s="61"/>
      <c r="L66" s="61"/>
      <c r="M66" s="61"/>
      <c r="N66" s="61"/>
      <c r="O66" s="61"/>
      <c r="P66" s="61"/>
      <c r="Q66" s="61"/>
      <c r="R66" s="61"/>
      <c r="S66" s="61"/>
    </row>
    <row r="67" spans="1:19" x14ac:dyDescent="0.3">
      <c r="A67" s="61"/>
      <c r="B67" s="61"/>
      <c r="C67" s="61"/>
      <c r="D67" s="61"/>
      <c r="E67" s="61"/>
      <c r="F67" s="61"/>
      <c r="G67" s="61"/>
      <c r="H67" s="61"/>
      <c r="I67" s="61"/>
      <c r="J67" s="61"/>
      <c r="K67" s="61"/>
      <c r="L67" s="61"/>
      <c r="M67" s="61"/>
      <c r="N67" s="61"/>
      <c r="O67" s="61"/>
      <c r="P67" s="61"/>
      <c r="Q67" s="61"/>
      <c r="R67" s="61"/>
      <c r="S67" s="61"/>
    </row>
    <row r="68" spans="1:19" x14ac:dyDescent="0.3">
      <c r="A68" s="61"/>
      <c r="B68" s="61"/>
      <c r="C68" s="61"/>
      <c r="D68" s="61"/>
      <c r="E68" s="61"/>
      <c r="F68" s="61"/>
      <c r="G68" s="61"/>
      <c r="H68" s="61"/>
      <c r="I68" s="61"/>
      <c r="J68" s="61"/>
      <c r="K68" s="61"/>
      <c r="L68" s="61"/>
      <c r="M68" s="61"/>
      <c r="N68" s="61"/>
      <c r="O68" s="61"/>
      <c r="P68" s="61"/>
      <c r="Q68" s="61"/>
      <c r="R68" s="61"/>
      <c r="S68" s="61"/>
    </row>
    <row r="69" spans="1:19" x14ac:dyDescent="0.3">
      <c r="A69" s="61"/>
      <c r="B69" s="61"/>
      <c r="C69" s="61"/>
      <c r="D69" s="61"/>
      <c r="E69" s="61"/>
      <c r="F69" s="61"/>
      <c r="G69" s="61"/>
      <c r="H69" s="61"/>
      <c r="I69" s="61"/>
      <c r="J69" s="61"/>
      <c r="K69" s="61"/>
      <c r="L69" s="61"/>
      <c r="M69" s="61"/>
      <c r="N69" s="61"/>
      <c r="O69" s="61"/>
      <c r="P69" s="61"/>
      <c r="Q69" s="61"/>
      <c r="R69" s="61"/>
      <c r="S69" s="61"/>
    </row>
    <row r="70" spans="1:19" x14ac:dyDescent="0.3">
      <c r="A70" s="61"/>
      <c r="B70" s="61"/>
      <c r="C70" s="61"/>
      <c r="D70" s="61"/>
      <c r="E70" s="61"/>
      <c r="F70" s="61"/>
      <c r="G70" s="61"/>
      <c r="H70" s="61"/>
      <c r="I70" s="61"/>
      <c r="J70" s="61"/>
      <c r="K70" s="61"/>
      <c r="L70" s="61"/>
      <c r="M70" s="61"/>
      <c r="N70" s="61"/>
      <c r="O70" s="61"/>
      <c r="P70" s="61"/>
      <c r="Q70" s="61"/>
      <c r="R70" s="61"/>
      <c r="S70" s="61"/>
    </row>
    <row r="71" spans="1:19" x14ac:dyDescent="0.3">
      <c r="A71" s="61"/>
      <c r="B71" s="61"/>
      <c r="C71" s="61"/>
      <c r="D71" s="61"/>
      <c r="E71" s="61"/>
      <c r="F71" s="61"/>
      <c r="G71" s="61"/>
      <c r="H71" s="61"/>
      <c r="I71" s="61"/>
      <c r="J71" s="61"/>
      <c r="K71" s="61"/>
      <c r="L71" s="61"/>
      <c r="M71" s="61"/>
      <c r="N71" s="61"/>
      <c r="O71" s="61"/>
      <c r="P71" s="61"/>
      <c r="Q71" s="61"/>
      <c r="R71" s="61"/>
      <c r="S71" s="61"/>
    </row>
    <row r="72" spans="1:19" x14ac:dyDescent="0.3">
      <c r="A72" s="61"/>
      <c r="B72" s="61"/>
      <c r="C72" s="61"/>
      <c r="D72" s="61"/>
      <c r="E72" s="61"/>
      <c r="F72" s="61"/>
      <c r="G72" s="61"/>
      <c r="H72" s="61"/>
      <c r="I72" s="61"/>
      <c r="J72" s="61"/>
      <c r="K72" s="61"/>
      <c r="L72" s="61"/>
      <c r="M72" s="61"/>
      <c r="N72" s="61"/>
      <c r="O72" s="61"/>
      <c r="P72" s="61"/>
      <c r="Q72" s="61"/>
      <c r="R72" s="61"/>
      <c r="S72" s="61"/>
    </row>
    <row r="73" spans="1:19" x14ac:dyDescent="0.3">
      <c r="A73" s="61"/>
      <c r="B73" s="61"/>
      <c r="C73" s="61"/>
      <c r="D73" s="61"/>
      <c r="E73" s="61"/>
      <c r="F73" s="61"/>
      <c r="G73" s="61"/>
      <c r="H73" s="61"/>
      <c r="I73" s="61"/>
      <c r="J73" s="61"/>
      <c r="K73" s="61"/>
      <c r="L73" s="61"/>
      <c r="M73" s="61"/>
      <c r="N73" s="61"/>
      <c r="O73" s="61"/>
      <c r="P73" s="61"/>
      <c r="Q73" s="61"/>
      <c r="R73" s="61"/>
      <c r="S73" s="61"/>
    </row>
    <row r="74" spans="1:19" x14ac:dyDescent="0.3">
      <c r="A74" s="61"/>
      <c r="B74" s="61"/>
      <c r="C74" s="61"/>
      <c r="D74" s="61"/>
      <c r="E74" s="61"/>
      <c r="F74" s="61"/>
      <c r="G74" s="61"/>
      <c r="H74" s="61"/>
      <c r="I74" s="61"/>
      <c r="J74" s="61"/>
      <c r="K74" s="61"/>
      <c r="L74" s="61"/>
      <c r="M74" s="61"/>
      <c r="N74" s="61"/>
      <c r="O74" s="61"/>
      <c r="P74" s="61"/>
      <c r="Q74" s="61"/>
      <c r="R74" s="61"/>
      <c r="S74" s="61"/>
    </row>
    <row r="75" spans="1:19" x14ac:dyDescent="0.3">
      <c r="A75" s="61"/>
      <c r="B75" s="61"/>
      <c r="C75" s="61"/>
      <c r="D75" s="61"/>
      <c r="E75" s="61"/>
      <c r="F75" s="61"/>
      <c r="G75" s="61"/>
      <c r="H75" s="61"/>
      <c r="I75" s="61"/>
      <c r="J75" s="61"/>
      <c r="K75" s="61"/>
      <c r="L75" s="61"/>
      <c r="M75" s="61"/>
      <c r="N75" s="61"/>
      <c r="O75" s="61"/>
      <c r="P75" s="61"/>
      <c r="Q75" s="61"/>
      <c r="R75" s="61"/>
      <c r="S75" s="61"/>
    </row>
    <row r="76" spans="1:19" x14ac:dyDescent="0.3">
      <c r="A76" s="61"/>
      <c r="B76" s="61"/>
      <c r="C76" s="61"/>
      <c r="D76" s="61"/>
      <c r="E76" s="61"/>
      <c r="F76" s="61"/>
      <c r="G76" s="61"/>
      <c r="H76" s="61"/>
      <c r="I76" s="61"/>
      <c r="J76" s="61"/>
      <c r="K76" s="61"/>
      <c r="L76" s="61"/>
      <c r="M76" s="61"/>
      <c r="N76" s="61"/>
      <c r="O76" s="61"/>
      <c r="P76" s="61"/>
      <c r="Q76" s="61"/>
      <c r="R76" s="61"/>
      <c r="S76" s="61"/>
    </row>
    <row r="77" spans="1:19" x14ac:dyDescent="0.3">
      <c r="A77" s="61"/>
      <c r="B77" s="61"/>
      <c r="C77" s="61"/>
      <c r="D77" s="61"/>
      <c r="E77" s="61"/>
      <c r="F77" s="61"/>
      <c r="G77" s="61"/>
      <c r="H77" s="61"/>
      <c r="I77" s="61"/>
      <c r="J77" s="61"/>
      <c r="K77" s="61"/>
      <c r="L77" s="61"/>
      <c r="M77" s="61"/>
      <c r="N77" s="61"/>
      <c r="O77" s="61"/>
      <c r="P77" s="61"/>
      <c r="Q77" s="61"/>
      <c r="R77" s="61"/>
      <c r="S77" s="61"/>
    </row>
    <row r="78" spans="1:19" x14ac:dyDescent="0.3">
      <c r="A78" s="61"/>
      <c r="B78" s="61"/>
      <c r="C78" s="61"/>
      <c r="D78" s="61"/>
      <c r="E78" s="61"/>
      <c r="F78" s="61"/>
      <c r="G78" s="61"/>
      <c r="H78" s="61"/>
      <c r="I78" s="61"/>
      <c r="J78" s="61"/>
      <c r="K78" s="61"/>
      <c r="L78" s="61"/>
      <c r="M78" s="61"/>
      <c r="N78" s="61"/>
      <c r="O78" s="61"/>
      <c r="P78" s="61"/>
      <c r="Q78" s="61"/>
      <c r="R78" s="61"/>
      <c r="S78" s="61"/>
    </row>
  </sheetData>
  <mergeCells count="7">
    <mergeCell ref="B2:P6"/>
    <mergeCell ref="O9:Q10"/>
    <mergeCell ref="O11:Q13"/>
    <mergeCell ref="F9:H10"/>
    <mergeCell ref="F11:H13"/>
    <mergeCell ref="J11:M13"/>
    <mergeCell ref="J9:M10"/>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74249-88AC-4117-A349-D316ED1E512F}">
  <dimension ref="A1:H502"/>
  <sheetViews>
    <sheetView workbookViewId="0">
      <selection activeCell="C355" sqref="C355"/>
    </sheetView>
  </sheetViews>
  <sheetFormatPr defaultRowHeight="14.4" x14ac:dyDescent="0.3"/>
  <cols>
    <col min="1" max="1" width="11.44140625" customWidth="1"/>
    <col min="2" max="2" width="11.88671875" customWidth="1"/>
    <col min="3" max="3" width="40.44140625" customWidth="1"/>
    <col min="4" max="4" width="18.6640625" customWidth="1"/>
    <col min="5" max="6" width="21.21875" customWidth="1"/>
    <col min="7" max="7" width="12.77734375" customWidth="1"/>
    <col min="8" max="8" width="14" bestFit="1" customWidth="1"/>
    <col min="9" max="9" width="10.109375" customWidth="1"/>
  </cols>
  <sheetData>
    <row r="1" spans="1:8" ht="15" thickBot="1" x14ac:dyDescent="0.35">
      <c r="A1" s="4" t="s">
        <v>0</v>
      </c>
      <c r="B1" s="5" t="s">
        <v>1</v>
      </c>
      <c r="C1" s="5" t="s">
        <v>2</v>
      </c>
      <c r="D1" s="5" t="s">
        <v>3</v>
      </c>
      <c r="E1" s="5" t="s">
        <v>4</v>
      </c>
      <c r="F1" s="5" t="s">
        <v>5</v>
      </c>
      <c r="G1" s="5" t="s">
        <v>6</v>
      </c>
      <c r="H1" s="5" t="s">
        <v>7</v>
      </c>
    </row>
    <row r="2" spans="1:8" ht="15" thickBot="1" x14ac:dyDescent="0.35">
      <c r="A2" s="12">
        <v>50001</v>
      </c>
      <c r="B2" s="6" t="s">
        <v>8</v>
      </c>
      <c r="C2" s="6" t="s">
        <v>9</v>
      </c>
      <c r="D2" s="6">
        <v>8</v>
      </c>
      <c r="E2" s="7">
        <v>45304.52847222222</v>
      </c>
      <c r="F2" s="8">
        <v>3.76</v>
      </c>
      <c r="G2" s="6">
        <v>12692</v>
      </c>
      <c r="H2" s="6" t="s">
        <v>10</v>
      </c>
    </row>
    <row r="3" spans="1:8" ht="15" thickBot="1" x14ac:dyDescent="0.35">
      <c r="A3" s="13" t="s">
        <v>11</v>
      </c>
      <c r="B3" s="9" t="s">
        <v>12</v>
      </c>
      <c r="C3" s="9" t="s">
        <v>13</v>
      </c>
      <c r="D3" s="9">
        <v>-1</v>
      </c>
      <c r="E3" s="10">
        <v>45594.633333333331</v>
      </c>
      <c r="F3" s="11">
        <v>2.56</v>
      </c>
      <c r="G3" s="9">
        <v>12616</v>
      </c>
      <c r="H3" s="9" t="s">
        <v>14</v>
      </c>
    </row>
    <row r="4" spans="1:8" ht="15" thickBot="1" x14ac:dyDescent="0.35">
      <c r="A4" s="12">
        <v>50003</v>
      </c>
      <c r="B4" s="6" t="s">
        <v>15</v>
      </c>
      <c r="C4" s="6" t="s">
        <v>16</v>
      </c>
      <c r="D4" s="6">
        <v>14</v>
      </c>
      <c r="E4" s="7">
        <v>45393.720833333333</v>
      </c>
      <c r="F4" s="8">
        <v>3.12</v>
      </c>
      <c r="G4" s="6">
        <v>12828</v>
      </c>
      <c r="H4" s="6" t="s">
        <v>14</v>
      </c>
    </row>
    <row r="5" spans="1:8" ht="15" thickBot="1" x14ac:dyDescent="0.35">
      <c r="A5" s="13">
        <v>50004</v>
      </c>
      <c r="B5" s="9">
        <v>22720</v>
      </c>
      <c r="C5" s="9" t="s">
        <v>17</v>
      </c>
      <c r="D5" s="9">
        <v>11</v>
      </c>
      <c r="E5" s="10">
        <v>45649.633333333331</v>
      </c>
      <c r="F5" s="11">
        <v>4.58</v>
      </c>
      <c r="G5" s="9">
        <v>12781</v>
      </c>
      <c r="H5" s="9" t="s">
        <v>18</v>
      </c>
    </row>
    <row r="6" spans="1:8" ht="15" thickBot="1" x14ac:dyDescent="0.35">
      <c r="A6" s="12">
        <v>50005</v>
      </c>
      <c r="B6" s="6" t="s">
        <v>8</v>
      </c>
      <c r="C6" s="6" t="s">
        <v>9</v>
      </c>
      <c r="D6" s="6">
        <v>4</v>
      </c>
      <c r="E6" s="7">
        <v>45339.603472222225</v>
      </c>
      <c r="F6" s="8">
        <v>3.29</v>
      </c>
      <c r="G6" s="6">
        <v>12270</v>
      </c>
      <c r="H6" s="6" t="s">
        <v>14</v>
      </c>
    </row>
    <row r="7" spans="1:8" ht="15" thickBot="1" x14ac:dyDescent="0.35">
      <c r="A7" s="13">
        <v>50006</v>
      </c>
      <c r="B7" s="9">
        <v>20725</v>
      </c>
      <c r="C7" s="9" t="s">
        <v>19</v>
      </c>
      <c r="D7" s="9">
        <v>13</v>
      </c>
      <c r="E7" s="10">
        <v>45566.421527777777</v>
      </c>
      <c r="F7" s="11">
        <v>1.57</v>
      </c>
      <c r="G7" s="9">
        <v>12643</v>
      </c>
      <c r="H7" s="9" t="s">
        <v>20</v>
      </c>
    </row>
    <row r="8" spans="1:8" ht="15" thickBot="1" x14ac:dyDescent="0.35">
      <c r="A8" s="12">
        <v>50007</v>
      </c>
      <c r="B8" s="6">
        <v>21212</v>
      </c>
      <c r="C8" s="6" t="s">
        <v>21</v>
      </c>
      <c r="D8" s="6">
        <v>23</v>
      </c>
      <c r="E8" s="7">
        <v>45587.469444444447</v>
      </c>
      <c r="F8" s="8">
        <v>0.59</v>
      </c>
      <c r="G8" s="6">
        <v>12791</v>
      </c>
      <c r="H8" s="6" t="s">
        <v>22</v>
      </c>
    </row>
    <row r="9" spans="1:8" ht="15" thickBot="1" x14ac:dyDescent="0.35">
      <c r="A9" s="13">
        <v>50008</v>
      </c>
      <c r="B9" s="9" t="s">
        <v>12</v>
      </c>
      <c r="C9" s="9" t="s">
        <v>13</v>
      </c>
      <c r="D9" s="9">
        <v>13</v>
      </c>
      <c r="E9" s="10">
        <v>45411.404861111114</v>
      </c>
      <c r="F9" s="11">
        <v>2.95</v>
      </c>
      <c r="G9" s="9">
        <v>12373</v>
      </c>
      <c r="H9" s="9" t="s">
        <v>23</v>
      </c>
    </row>
    <row r="10" spans="1:8" ht="15" thickBot="1" x14ac:dyDescent="0.35">
      <c r="A10" s="12">
        <v>50009</v>
      </c>
      <c r="B10" s="6">
        <v>21212</v>
      </c>
      <c r="C10" s="6" t="s">
        <v>21</v>
      </c>
      <c r="D10" s="6">
        <v>22</v>
      </c>
      <c r="E10" s="7">
        <v>45473.481944444444</v>
      </c>
      <c r="F10" s="8">
        <v>0.65</v>
      </c>
      <c r="G10" s="6">
        <v>12663</v>
      </c>
      <c r="H10" s="6" t="s">
        <v>24</v>
      </c>
    </row>
    <row r="11" spans="1:8" ht="15" thickBot="1" x14ac:dyDescent="0.35">
      <c r="A11" s="13">
        <v>50010</v>
      </c>
      <c r="B11" s="9">
        <v>84991</v>
      </c>
      <c r="C11" s="9" t="s">
        <v>25</v>
      </c>
      <c r="D11" s="9">
        <v>18</v>
      </c>
      <c r="E11" s="10">
        <v>45617.454861111109</v>
      </c>
      <c r="F11" s="11">
        <v>0.5</v>
      </c>
      <c r="G11" s="9">
        <v>12388</v>
      </c>
      <c r="H11" s="9" t="s">
        <v>22</v>
      </c>
    </row>
    <row r="12" spans="1:8" ht="15" thickBot="1" x14ac:dyDescent="0.35">
      <c r="A12" s="12">
        <v>50011</v>
      </c>
      <c r="B12" s="6" t="s">
        <v>15</v>
      </c>
      <c r="C12" s="6" t="s">
        <v>16</v>
      </c>
      <c r="D12" s="6">
        <v>2</v>
      </c>
      <c r="E12" s="7">
        <v>45404.563888888886</v>
      </c>
      <c r="F12" s="8">
        <v>2.54</v>
      </c>
      <c r="G12" s="6">
        <v>12323</v>
      </c>
      <c r="H12" s="6" t="s">
        <v>26</v>
      </c>
    </row>
    <row r="13" spans="1:8" ht="15" thickBot="1" x14ac:dyDescent="0.35">
      <c r="A13" s="13">
        <v>50012</v>
      </c>
      <c r="B13" s="9">
        <v>47566</v>
      </c>
      <c r="C13" s="9" t="s">
        <v>27</v>
      </c>
      <c r="D13" s="9">
        <v>19</v>
      </c>
      <c r="E13" s="10">
        <v>45325.48333333333</v>
      </c>
      <c r="F13" s="11">
        <v>4.75</v>
      </c>
      <c r="G13" s="9">
        <v>12671</v>
      </c>
      <c r="H13" s="9" t="s">
        <v>28</v>
      </c>
    </row>
    <row r="14" spans="1:8" ht="15" thickBot="1" x14ac:dyDescent="0.35">
      <c r="A14" s="12">
        <v>50013</v>
      </c>
      <c r="B14" s="6">
        <v>22386</v>
      </c>
      <c r="C14" s="6" t="s">
        <v>29</v>
      </c>
      <c r="D14" s="6">
        <v>5</v>
      </c>
      <c r="E14" s="7">
        <v>45621.65902777778</v>
      </c>
      <c r="F14" s="8">
        <v>1.83</v>
      </c>
      <c r="G14" s="6">
        <v>12574</v>
      </c>
      <c r="H14" s="6" t="s">
        <v>10</v>
      </c>
    </row>
    <row r="15" spans="1:8" ht="15" thickBot="1" x14ac:dyDescent="0.35">
      <c r="A15" s="13">
        <v>50014</v>
      </c>
      <c r="B15" s="9">
        <v>47566</v>
      </c>
      <c r="C15" s="9" t="s">
        <v>27</v>
      </c>
      <c r="D15" s="9">
        <v>19</v>
      </c>
      <c r="E15" s="10">
        <v>45591.637499999997</v>
      </c>
      <c r="F15" s="11">
        <v>4.59</v>
      </c>
      <c r="G15" s="9">
        <v>12141</v>
      </c>
      <c r="H15" s="9" t="s">
        <v>10</v>
      </c>
    </row>
    <row r="16" spans="1:8" ht="15" thickBot="1" x14ac:dyDescent="0.35">
      <c r="A16" s="12">
        <v>50015</v>
      </c>
      <c r="B16" s="6">
        <v>23203</v>
      </c>
      <c r="C16" s="6" t="s">
        <v>30</v>
      </c>
      <c r="D16" s="6">
        <v>4</v>
      </c>
      <c r="E16" s="7">
        <v>45338.366666666669</v>
      </c>
      <c r="F16" s="8">
        <v>1.88</v>
      </c>
      <c r="G16" s="6">
        <v>12696</v>
      </c>
      <c r="H16" s="6" t="s">
        <v>26</v>
      </c>
    </row>
    <row r="17" spans="1:8" ht="15" thickBot="1" x14ac:dyDescent="0.35">
      <c r="A17" s="13">
        <v>50016</v>
      </c>
      <c r="B17" s="9">
        <v>84991</v>
      </c>
      <c r="C17" s="9" t="s">
        <v>25</v>
      </c>
      <c r="D17" s="9">
        <v>13</v>
      </c>
      <c r="E17" s="10">
        <v>45324.606944444444</v>
      </c>
      <c r="F17" s="11">
        <v>0.56000000000000005</v>
      </c>
      <c r="G17" s="9">
        <v>12257</v>
      </c>
      <c r="H17" s="9" t="s">
        <v>10</v>
      </c>
    </row>
    <row r="18" spans="1:8" ht="15" thickBot="1" x14ac:dyDescent="0.35">
      <c r="A18" s="12">
        <v>50017</v>
      </c>
      <c r="B18" s="6" t="s">
        <v>31</v>
      </c>
      <c r="C18" s="6" t="s">
        <v>32</v>
      </c>
      <c r="D18" s="6">
        <v>22</v>
      </c>
      <c r="E18" s="7">
        <v>45640.414583333331</v>
      </c>
      <c r="F18" s="8">
        <v>2.84</v>
      </c>
      <c r="G18" s="6">
        <v>12787</v>
      </c>
      <c r="H18" s="6" t="s">
        <v>18</v>
      </c>
    </row>
    <row r="19" spans="1:8" ht="15" thickBot="1" x14ac:dyDescent="0.35">
      <c r="A19" s="13">
        <v>50018</v>
      </c>
      <c r="B19" s="9" t="s">
        <v>8</v>
      </c>
      <c r="C19" s="9" t="s">
        <v>9</v>
      </c>
      <c r="D19" s="9">
        <v>6</v>
      </c>
      <c r="E19" s="10">
        <v>45442.642361111109</v>
      </c>
      <c r="F19" s="11">
        <v>4.01</v>
      </c>
      <c r="G19" s="9"/>
      <c r="H19" s="9" t="s">
        <v>22</v>
      </c>
    </row>
    <row r="20" spans="1:8" ht="15" thickBot="1" x14ac:dyDescent="0.35">
      <c r="A20" s="12">
        <v>50019</v>
      </c>
      <c r="B20" s="6" t="s">
        <v>33</v>
      </c>
      <c r="C20" s="6" t="s">
        <v>34</v>
      </c>
      <c r="D20" s="6">
        <v>4</v>
      </c>
      <c r="E20" s="7">
        <v>45383.693749999999</v>
      </c>
      <c r="F20" s="8">
        <v>17.18</v>
      </c>
      <c r="G20" s="6">
        <v>12654</v>
      </c>
      <c r="H20" s="6" t="s">
        <v>10</v>
      </c>
    </row>
    <row r="21" spans="1:8" ht="15" thickBot="1" x14ac:dyDescent="0.35">
      <c r="A21" s="13">
        <v>50020</v>
      </c>
      <c r="B21" s="9">
        <v>84991</v>
      </c>
      <c r="C21" s="9" t="s">
        <v>25</v>
      </c>
      <c r="D21" s="9">
        <v>12</v>
      </c>
      <c r="E21" s="10">
        <v>45393.441666666666</v>
      </c>
      <c r="F21" s="11">
        <v>0.56999999999999995</v>
      </c>
      <c r="G21" s="9">
        <v>12797</v>
      </c>
      <c r="H21" s="9" t="s">
        <v>10</v>
      </c>
    </row>
    <row r="22" spans="1:8" ht="15" thickBot="1" x14ac:dyDescent="0.35">
      <c r="A22" s="12" t="s">
        <v>35</v>
      </c>
      <c r="B22" s="6" t="s">
        <v>31</v>
      </c>
      <c r="C22" s="6" t="s">
        <v>32</v>
      </c>
      <c r="D22" s="6">
        <v>-6</v>
      </c>
      <c r="E22" s="7">
        <v>45598.563194444447</v>
      </c>
      <c r="F22" s="8">
        <v>2.95</v>
      </c>
      <c r="G22" s="6">
        <v>12851</v>
      </c>
      <c r="H22" s="6" t="s">
        <v>22</v>
      </c>
    </row>
    <row r="23" spans="1:8" ht="15" thickBot="1" x14ac:dyDescent="0.35">
      <c r="A23" s="13">
        <v>50022</v>
      </c>
      <c r="B23" s="9">
        <v>22423</v>
      </c>
      <c r="C23" s="9" t="s">
        <v>36</v>
      </c>
      <c r="D23" s="9">
        <v>19</v>
      </c>
      <c r="E23" s="10">
        <v>45321.504166666666</v>
      </c>
      <c r="F23" s="11">
        <v>11.22</v>
      </c>
      <c r="G23" s="9">
        <v>12497</v>
      </c>
      <c r="H23" s="9" t="s">
        <v>24</v>
      </c>
    </row>
    <row r="24" spans="1:8" ht="15" thickBot="1" x14ac:dyDescent="0.35">
      <c r="A24" s="12">
        <v>50023</v>
      </c>
      <c r="B24" s="6" t="s">
        <v>15</v>
      </c>
      <c r="C24" s="6" t="s">
        <v>16</v>
      </c>
      <c r="D24" s="6">
        <v>22</v>
      </c>
      <c r="E24" s="7">
        <v>45356.424305555556</v>
      </c>
      <c r="F24" s="8">
        <v>3.08</v>
      </c>
      <c r="G24" s="6">
        <v>12271</v>
      </c>
      <c r="H24" s="6" t="s">
        <v>10</v>
      </c>
    </row>
    <row r="25" spans="1:8" ht="15" thickBot="1" x14ac:dyDescent="0.35">
      <c r="A25" s="13">
        <v>50024</v>
      </c>
      <c r="B25" s="9">
        <v>84991</v>
      </c>
      <c r="C25" s="9" t="s">
        <v>25</v>
      </c>
      <c r="D25" s="9">
        <v>18</v>
      </c>
      <c r="E25" s="10">
        <v>45508.48333333333</v>
      </c>
      <c r="F25" s="11">
        <v>0.6</v>
      </c>
      <c r="G25" s="9">
        <v>12730</v>
      </c>
      <c r="H25" s="9" t="s">
        <v>22</v>
      </c>
    </row>
    <row r="26" spans="1:8" ht="15" thickBot="1" x14ac:dyDescent="0.35">
      <c r="A26" s="12">
        <v>50025</v>
      </c>
      <c r="B26" s="6">
        <v>22386</v>
      </c>
      <c r="C26" s="6" t="s">
        <v>29</v>
      </c>
      <c r="D26" s="6">
        <v>15</v>
      </c>
      <c r="E26" s="7">
        <v>45635.598611111112</v>
      </c>
      <c r="F26" s="8">
        <v>1.97</v>
      </c>
      <c r="G26" s="6">
        <v>12253</v>
      </c>
      <c r="H26" s="6" t="s">
        <v>37</v>
      </c>
    </row>
    <row r="27" spans="1:8" ht="15" thickBot="1" x14ac:dyDescent="0.35">
      <c r="A27" s="13">
        <v>50026</v>
      </c>
      <c r="B27" s="9" t="s">
        <v>12</v>
      </c>
      <c r="C27" s="9" t="s">
        <v>13</v>
      </c>
      <c r="D27" s="9">
        <v>19</v>
      </c>
      <c r="E27" s="10">
        <v>45465.347916666666</v>
      </c>
      <c r="F27" s="11">
        <v>2.9</v>
      </c>
      <c r="G27" s="9">
        <v>12007</v>
      </c>
      <c r="H27" s="9" t="s">
        <v>24</v>
      </c>
    </row>
    <row r="28" spans="1:8" ht="15" thickBot="1" x14ac:dyDescent="0.35">
      <c r="A28" s="12">
        <v>50027</v>
      </c>
      <c r="B28" s="6">
        <v>71053</v>
      </c>
      <c r="C28" s="6" t="s">
        <v>38</v>
      </c>
      <c r="D28" s="6">
        <v>2</v>
      </c>
      <c r="E28" s="7">
        <v>45409.381249999999</v>
      </c>
      <c r="F28" s="8">
        <v>2.97</v>
      </c>
      <c r="G28" s="6">
        <v>12243</v>
      </c>
      <c r="H28" s="6" t="s">
        <v>22</v>
      </c>
    </row>
    <row r="29" spans="1:8" ht="15" thickBot="1" x14ac:dyDescent="0.35">
      <c r="A29" s="13">
        <v>50028</v>
      </c>
      <c r="B29" s="9">
        <v>23203</v>
      </c>
      <c r="C29" s="9" t="s">
        <v>30</v>
      </c>
      <c r="D29" s="9">
        <v>5</v>
      </c>
      <c r="E29" s="10">
        <v>45401.716666666667</v>
      </c>
      <c r="F29" s="11">
        <v>2.41</v>
      </c>
      <c r="G29" s="9">
        <v>12590</v>
      </c>
      <c r="H29" s="9" t="s">
        <v>28</v>
      </c>
    </row>
    <row r="30" spans="1:8" ht="15" thickBot="1" x14ac:dyDescent="0.35">
      <c r="A30" s="12">
        <v>50029</v>
      </c>
      <c r="B30" s="6">
        <v>22423</v>
      </c>
      <c r="C30" s="6" t="s">
        <v>36</v>
      </c>
      <c r="D30" s="6">
        <v>7</v>
      </c>
      <c r="E30" s="7">
        <v>45534.62222222222</v>
      </c>
      <c r="F30" s="8">
        <v>13.78</v>
      </c>
      <c r="G30" s="6">
        <v>12362</v>
      </c>
      <c r="H30" s="6" t="s">
        <v>26</v>
      </c>
    </row>
    <row r="31" spans="1:8" ht="15" thickBot="1" x14ac:dyDescent="0.35">
      <c r="A31" s="13">
        <v>50030</v>
      </c>
      <c r="B31" s="9" t="s">
        <v>39</v>
      </c>
      <c r="C31" s="9" t="s">
        <v>40</v>
      </c>
      <c r="D31" s="9">
        <v>22</v>
      </c>
      <c r="E31" s="10">
        <v>45531.371527777781</v>
      </c>
      <c r="F31" s="11">
        <v>2.2400000000000002</v>
      </c>
      <c r="G31" s="9">
        <v>12062</v>
      </c>
      <c r="H31" s="9" t="s">
        <v>26</v>
      </c>
    </row>
    <row r="32" spans="1:8" ht="15" thickBot="1" x14ac:dyDescent="0.35">
      <c r="A32" s="12">
        <v>50031</v>
      </c>
      <c r="B32" s="6">
        <v>22086</v>
      </c>
      <c r="C32" s="6" t="s">
        <v>41</v>
      </c>
      <c r="D32" s="6">
        <v>7</v>
      </c>
      <c r="E32" s="7">
        <v>45347.509722222225</v>
      </c>
      <c r="F32" s="8">
        <v>2.97</v>
      </c>
      <c r="G32" s="6">
        <v>12432</v>
      </c>
      <c r="H32" s="6" t="s">
        <v>23</v>
      </c>
    </row>
    <row r="33" spans="1:8" ht="15" thickBot="1" x14ac:dyDescent="0.35">
      <c r="A33" s="13">
        <v>50032</v>
      </c>
      <c r="B33" s="9">
        <v>47566</v>
      </c>
      <c r="C33" s="9" t="s">
        <v>27</v>
      </c>
      <c r="D33" s="9">
        <v>3</v>
      </c>
      <c r="E33" s="10">
        <v>45528.510416666664</v>
      </c>
      <c r="F33" s="11">
        <v>5.7</v>
      </c>
      <c r="G33" s="9">
        <v>12563</v>
      </c>
      <c r="H33" s="9" t="s">
        <v>24</v>
      </c>
    </row>
    <row r="34" spans="1:8" ht="15" thickBot="1" x14ac:dyDescent="0.35">
      <c r="A34" s="12">
        <v>50033</v>
      </c>
      <c r="B34" s="6">
        <v>71053</v>
      </c>
      <c r="C34" s="6" t="s">
        <v>38</v>
      </c>
      <c r="D34" s="6">
        <v>1</v>
      </c>
      <c r="E34" s="7">
        <v>45625.717361111114</v>
      </c>
      <c r="F34" s="8">
        <v>3.98</v>
      </c>
      <c r="G34" s="6">
        <v>12869</v>
      </c>
      <c r="H34" s="6" t="s">
        <v>37</v>
      </c>
    </row>
    <row r="35" spans="1:8" ht="15" thickBot="1" x14ac:dyDescent="0.35">
      <c r="A35" s="13">
        <v>50034</v>
      </c>
      <c r="B35" s="9">
        <v>22720</v>
      </c>
      <c r="C35" s="9" t="s">
        <v>17</v>
      </c>
      <c r="D35" s="9">
        <v>16</v>
      </c>
      <c r="E35" s="10">
        <v>45500.678472222222</v>
      </c>
      <c r="F35" s="11">
        <v>4.9000000000000004</v>
      </c>
      <c r="G35" s="9">
        <v>12060</v>
      </c>
      <c r="H35" s="9" t="s">
        <v>23</v>
      </c>
    </row>
    <row r="36" spans="1:8" ht="15" thickBot="1" x14ac:dyDescent="0.35">
      <c r="A36" s="12">
        <v>50035</v>
      </c>
      <c r="B36" s="6">
        <v>22386</v>
      </c>
      <c r="C36" s="6" t="s">
        <v>29</v>
      </c>
      <c r="D36" s="6">
        <v>9</v>
      </c>
      <c r="E36" s="7">
        <v>45293.61041666667</v>
      </c>
      <c r="F36" s="8">
        <v>2.19</v>
      </c>
      <c r="G36" s="6">
        <v>12292</v>
      </c>
      <c r="H36" s="6" t="s">
        <v>26</v>
      </c>
    </row>
    <row r="37" spans="1:8" ht="15" thickBot="1" x14ac:dyDescent="0.35">
      <c r="A37" s="13">
        <v>50036</v>
      </c>
      <c r="B37" s="9" t="s">
        <v>15</v>
      </c>
      <c r="C37" s="9" t="s">
        <v>16</v>
      </c>
      <c r="D37" s="9">
        <v>5</v>
      </c>
      <c r="E37" s="10">
        <v>45630.679166666669</v>
      </c>
      <c r="F37" s="11">
        <v>2.73</v>
      </c>
      <c r="G37" s="9">
        <v>12059</v>
      </c>
      <c r="H37" s="9" t="s">
        <v>20</v>
      </c>
    </row>
    <row r="38" spans="1:8" ht="15" thickBot="1" x14ac:dyDescent="0.35">
      <c r="A38" s="12" t="s">
        <v>42</v>
      </c>
      <c r="B38" s="6" t="s">
        <v>15</v>
      </c>
      <c r="C38" s="6" t="s">
        <v>16</v>
      </c>
      <c r="D38" s="6">
        <v>-2</v>
      </c>
      <c r="E38" s="7">
        <v>45323.556250000001</v>
      </c>
      <c r="F38" s="8">
        <v>3.03</v>
      </c>
      <c r="G38" s="6">
        <v>12873</v>
      </c>
      <c r="H38" s="6" t="s">
        <v>10</v>
      </c>
    </row>
    <row r="39" spans="1:8" ht="15" thickBot="1" x14ac:dyDescent="0.35">
      <c r="A39" s="13">
        <v>50038</v>
      </c>
      <c r="B39" s="9">
        <v>22720</v>
      </c>
      <c r="C39" s="9" t="s">
        <v>17</v>
      </c>
      <c r="D39" s="9">
        <v>3</v>
      </c>
      <c r="E39" s="10">
        <v>45321.694444444445</v>
      </c>
      <c r="F39" s="11">
        <v>4.33</v>
      </c>
      <c r="G39" s="9">
        <v>12069</v>
      </c>
      <c r="H39" s="9" t="s">
        <v>37</v>
      </c>
    </row>
    <row r="40" spans="1:8" ht="15" thickBot="1" x14ac:dyDescent="0.35">
      <c r="A40" s="12">
        <v>50039</v>
      </c>
      <c r="B40" s="6">
        <v>22386</v>
      </c>
      <c r="C40" s="6" t="s">
        <v>29</v>
      </c>
      <c r="D40" s="6">
        <v>8</v>
      </c>
      <c r="E40" s="7">
        <v>45353.738194444442</v>
      </c>
      <c r="F40" s="8">
        <v>1.68</v>
      </c>
      <c r="G40" s="6">
        <v>12083</v>
      </c>
      <c r="H40" s="6" t="s">
        <v>26</v>
      </c>
    </row>
    <row r="41" spans="1:8" ht="15" thickBot="1" x14ac:dyDescent="0.35">
      <c r="A41" s="13">
        <v>50040</v>
      </c>
      <c r="B41" s="9" t="s">
        <v>43</v>
      </c>
      <c r="C41" s="9" t="s">
        <v>44</v>
      </c>
      <c r="D41" s="9">
        <v>11</v>
      </c>
      <c r="E41" s="10">
        <v>45581.704861111109</v>
      </c>
      <c r="F41" s="11">
        <v>1.1499999999999999</v>
      </c>
      <c r="G41" s="9">
        <v>12733</v>
      </c>
      <c r="H41" s="9" t="s">
        <v>18</v>
      </c>
    </row>
    <row r="42" spans="1:8" ht="15" thickBot="1" x14ac:dyDescent="0.35">
      <c r="A42" s="12">
        <v>50041</v>
      </c>
      <c r="B42" s="6">
        <v>22423</v>
      </c>
      <c r="C42" s="6" t="s">
        <v>36</v>
      </c>
      <c r="D42" s="6">
        <v>5</v>
      </c>
      <c r="E42" s="7">
        <v>45427.614583333336</v>
      </c>
      <c r="F42" s="8">
        <v>12.18</v>
      </c>
      <c r="G42" s="6">
        <v>12323</v>
      </c>
      <c r="H42" s="6" t="s">
        <v>24</v>
      </c>
    </row>
    <row r="43" spans="1:8" ht="15" thickBot="1" x14ac:dyDescent="0.35">
      <c r="A43" s="13">
        <v>50042</v>
      </c>
      <c r="B43" s="9" t="s">
        <v>31</v>
      </c>
      <c r="C43" s="9" t="s">
        <v>32</v>
      </c>
      <c r="D43" s="9">
        <v>4</v>
      </c>
      <c r="E43" s="10">
        <v>45526.73333333333</v>
      </c>
      <c r="F43" s="11">
        <v>2.36</v>
      </c>
      <c r="G43" s="9">
        <v>12271</v>
      </c>
      <c r="H43" s="9" t="s">
        <v>23</v>
      </c>
    </row>
    <row r="44" spans="1:8" ht="15" thickBot="1" x14ac:dyDescent="0.35">
      <c r="A44" s="12">
        <v>50043</v>
      </c>
      <c r="B44" s="6">
        <v>21212</v>
      </c>
      <c r="C44" s="6" t="s">
        <v>21</v>
      </c>
      <c r="D44" s="6">
        <v>12</v>
      </c>
      <c r="E44" s="7">
        <v>45327.506944444445</v>
      </c>
      <c r="F44" s="8">
        <v>0.55000000000000004</v>
      </c>
      <c r="G44" s="6">
        <v>12556</v>
      </c>
      <c r="H44" s="6" t="s">
        <v>22</v>
      </c>
    </row>
    <row r="45" spans="1:8" ht="15" thickBot="1" x14ac:dyDescent="0.35">
      <c r="A45" s="13">
        <v>50044</v>
      </c>
      <c r="B45" s="9">
        <v>84991</v>
      </c>
      <c r="C45" s="9" t="s">
        <v>25</v>
      </c>
      <c r="D45" s="9">
        <v>1</v>
      </c>
      <c r="E45" s="10">
        <v>45626.709027777775</v>
      </c>
      <c r="F45" s="11">
        <v>0.56999999999999995</v>
      </c>
      <c r="G45" s="9">
        <v>12954</v>
      </c>
      <c r="H45" s="9" t="s">
        <v>24</v>
      </c>
    </row>
    <row r="46" spans="1:8" ht="15" thickBot="1" x14ac:dyDescent="0.35">
      <c r="A46" s="12">
        <v>50045</v>
      </c>
      <c r="B46" s="6">
        <v>84879</v>
      </c>
      <c r="C46" s="6" t="s">
        <v>45</v>
      </c>
      <c r="D46" s="6">
        <v>4</v>
      </c>
      <c r="E46" s="7">
        <v>45427.415277777778</v>
      </c>
      <c r="F46" s="8">
        <v>1.53</v>
      </c>
      <c r="G46" s="6">
        <v>12288</v>
      </c>
      <c r="H46" s="6" t="s">
        <v>20</v>
      </c>
    </row>
    <row r="47" spans="1:8" ht="15" thickBot="1" x14ac:dyDescent="0.35">
      <c r="A47" s="13">
        <v>50046</v>
      </c>
      <c r="B47" s="9">
        <v>22727</v>
      </c>
      <c r="C47" s="9" t="s">
        <v>46</v>
      </c>
      <c r="D47" s="9">
        <v>22</v>
      </c>
      <c r="E47" s="10">
        <v>45467.477777777778</v>
      </c>
      <c r="F47" s="11">
        <v>3.53</v>
      </c>
      <c r="G47" s="9">
        <v>12500</v>
      </c>
      <c r="H47" s="9" t="s">
        <v>22</v>
      </c>
    </row>
    <row r="48" spans="1:8" ht="15" thickBot="1" x14ac:dyDescent="0.35">
      <c r="A48" s="12" t="s">
        <v>47</v>
      </c>
      <c r="B48" s="6">
        <v>71053</v>
      </c>
      <c r="C48" s="6" t="s">
        <v>38</v>
      </c>
      <c r="D48" s="6">
        <v>-6</v>
      </c>
      <c r="E48" s="7">
        <v>45339.634027777778</v>
      </c>
      <c r="F48" s="8">
        <v>3.8</v>
      </c>
      <c r="G48" s="6">
        <v>12652</v>
      </c>
      <c r="H48" s="6" t="s">
        <v>22</v>
      </c>
    </row>
    <row r="49" spans="1:8" ht="15" thickBot="1" x14ac:dyDescent="0.35">
      <c r="A49" s="13">
        <v>50048</v>
      </c>
      <c r="B49" s="9">
        <v>22720</v>
      </c>
      <c r="C49" s="9" t="s">
        <v>17</v>
      </c>
      <c r="D49" s="9">
        <v>23</v>
      </c>
      <c r="E49" s="10">
        <v>45518.724999999999</v>
      </c>
      <c r="F49" s="11">
        <v>4.22</v>
      </c>
      <c r="G49" s="9">
        <v>12077</v>
      </c>
      <c r="H49" s="9" t="s">
        <v>23</v>
      </c>
    </row>
    <row r="50" spans="1:8" ht="15" thickBot="1" x14ac:dyDescent="0.35">
      <c r="A50" s="12">
        <v>50049</v>
      </c>
      <c r="B50" s="6" t="s">
        <v>15</v>
      </c>
      <c r="C50" s="6" t="s">
        <v>16</v>
      </c>
      <c r="D50" s="6">
        <v>19</v>
      </c>
      <c r="E50" s="7">
        <v>45310.595833333333</v>
      </c>
      <c r="F50" s="8">
        <v>2.95</v>
      </c>
      <c r="G50" s="6">
        <v>12042</v>
      </c>
      <c r="H50" s="6" t="s">
        <v>22</v>
      </c>
    </row>
    <row r="51" spans="1:8" ht="15" thickBot="1" x14ac:dyDescent="0.35">
      <c r="A51" s="13">
        <v>50050</v>
      </c>
      <c r="B51" s="9">
        <v>21212</v>
      </c>
      <c r="C51" s="9" t="s">
        <v>21</v>
      </c>
      <c r="D51" s="9">
        <v>7</v>
      </c>
      <c r="E51" s="10">
        <v>45312.587500000001</v>
      </c>
      <c r="F51" s="11">
        <v>0.6</v>
      </c>
      <c r="G51" s="9">
        <v>12362</v>
      </c>
      <c r="H51" s="9" t="s">
        <v>10</v>
      </c>
    </row>
    <row r="52" spans="1:8" ht="15" thickBot="1" x14ac:dyDescent="0.35">
      <c r="A52" s="12">
        <v>50051</v>
      </c>
      <c r="B52" s="6" t="s">
        <v>39</v>
      </c>
      <c r="C52" s="6" t="s">
        <v>40</v>
      </c>
      <c r="D52" s="6">
        <v>8</v>
      </c>
      <c r="E52" s="7">
        <v>45609.443055555559</v>
      </c>
      <c r="F52" s="8">
        <v>2.48</v>
      </c>
      <c r="G52" s="6">
        <v>12830</v>
      </c>
      <c r="H52" s="6" t="s">
        <v>23</v>
      </c>
    </row>
    <row r="53" spans="1:8" ht="15" thickBot="1" x14ac:dyDescent="0.35">
      <c r="A53" s="13">
        <v>50052</v>
      </c>
      <c r="B53" s="9" t="s">
        <v>39</v>
      </c>
      <c r="C53" s="9" t="s">
        <v>40</v>
      </c>
      <c r="D53" s="9">
        <v>24</v>
      </c>
      <c r="E53" s="10">
        <v>45304.460416666669</v>
      </c>
      <c r="F53" s="11">
        <v>2.34</v>
      </c>
      <c r="G53" s="9">
        <v>12421</v>
      </c>
      <c r="H53" s="9" t="s">
        <v>37</v>
      </c>
    </row>
    <row r="54" spans="1:8" ht="15" thickBot="1" x14ac:dyDescent="0.35">
      <c r="A54" s="12">
        <v>50053</v>
      </c>
      <c r="B54" s="6">
        <v>47566</v>
      </c>
      <c r="C54" s="6" t="s">
        <v>27</v>
      </c>
      <c r="D54" s="6">
        <v>13</v>
      </c>
      <c r="E54" s="7">
        <v>45373.409722222219</v>
      </c>
      <c r="F54" s="8">
        <v>5.7</v>
      </c>
      <c r="G54" s="6">
        <v>12227</v>
      </c>
      <c r="H54" s="6" t="s">
        <v>37</v>
      </c>
    </row>
    <row r="55" spans="1:8" ht="15" thickBot="1" x14ac:dyDescent="0.35">
      <c r="A55" s="13">
        <v>50054</v>
      </c>
      <c r="B55" s="9">
        <v>20725</v>
      </c>
      <c r="C55" s="9" t="s">
        <v>19</v>
      </c>
      <c r="D55" s="9">
        <v>8</v>
      </c>
      <c r="E55" s="10">
        <v>45471.55</v>
      </c>
      <c r="F55" s="11">
        <v>1.78</v>
      </c>
      <c r="G55" s="9">
        <v>12408</v>
      </c>
      <c r="H55" s="9" t="s">
        <v>18</v>
      </c>
    </row>
    <row r="56" spans="1:8" ht="15" thickBot="1" x14ac:dyDescent="0.35">
      <c r="A56" s="12">
        <v>50055</v>
      </c>
      <c r="B56" s="6">
        <v>47566</v>
      </c>
      <c r="C56" s="6" t="s">
        <v>27</v>
      </c>
      <c r="D56" s="6">
        <v>12</v>
      </c>
      <c r="E56" s="7">
        <v>45327.53125</v>
      </c>
      <c r="F56" s="8">
        <v>4.9000000000000004</v>
      </c>
      <c r="G56" s="6">
        <v>12863</v>
      </c>
      <c r="H56" s="6" t="s">
        <v>10</v>
      </c>
    </row>
    <row r="57" spans="1:8" ht="15" thickBot="1" x14ac:dyDescent="0.35">
      <c r="A57" s="13">
        <v>50056</v>
      </c>
      <c r="B57" s="9">
        <v>22086</v>
      </c>
      <c r="C57" s="9" t="s">
        <v>41</v>
      </c>
      <c r="D57" s="9">
        <v>9</v>
      </c>
      <c r="E57" s="10">
        <v>45306.415277777778</v>
      </c>
      <c r="F57" s="11">
        <v>3.5</v>
      </c>
      <c r="G57" s="9">
        <v>12271</v>
      </c>
      <c r="H57" s="9" t="s">
        <v>14</v>
      </c>
    </row>
    <row r="58" spans="1:8" ht="15" thickBot="1" x14ac:dyDescent="0.35">
      <c r="A58" s="12">
        <v>50057</v>
      </c>
      <c r="B58" s="6" t="s">
        <v>8</v>
      </c>
      <c r="C58" s="6" t="s">
        <v>9</v>
      </c>
      <c r="D58" s="6">
        <v>12</v>
      </c>
      <c r="E58" s="7">
        <v>45597.64166666667</v>
      </c>
      <c r="F58" s="8">
        <v>3.25</v>
      </c>
      <c r="G58" s="6">
        <v>12620</v>
      </c>
      <c r="H58" s="6" t="s">
        <v>10</v>
      </c>
    </row>
    <row r="59" spans="1:8" ht="15" thickBot="1" x14ac:dyDescent="0.35">
      <c r="A59" s="13">
        <v>50058</v>
      </c>
      <c r="B59" s="9" t="s">
        <v>8</v>
      </c>
      <c r="C59" s="9" t="s">
        <v>9</v>
      </c>
      <c r="D59" s="9">
        <v>7</v>
      </c>
      <c r="E59" s="10">
        <v>45489.743055555555</v>
      </c>
      <c r="F59" s="11">
        <v>3.72</v>
      </c>
      <c r="G59" s="9">
        <v>12001</v>
      </c>
      <c r="H59" s="9" t="s">
        <v>10</v>
      </c>
    </row>
    <row r="60" spans="1:8" ht="15" thickBot="1" x14ac:dyDescent="0.35">
      <c r="A60" s="12">
        <v>50059</v>
      </c>
      <c r="B60" s="6" t="s">
        <v>15</v>
      </c>
      <c r="C60" s="6" t="s">
        <v>16</v>
      </c>
      <c r="D60" s="6">
        <v>12</v>
      </c>
      <c r="E60" s="7">
        <v>45643.472916666666</v>
      </c>
      <c r="F60" s="8">
        <v>3.49</v>
      </c>
      <c r="G60" s="6">
        <v>12942</v>
      </c>
      <c r="H60" s="6" t="s">
        <v>18</v>
      </c>
    </row>
    <row r="61" spans="1:8" ht="15" thickBot="1" x14ac:dyDescent="0.35">
      <c r="A61" s="13">
        <v>50060</v>
      </c>
      <c r="B61" s="9">
        <v>84991</v>
      </c>
      <c r="C61" s="9" t="s">
        <v>25</v>
      </c>
      <c r="D61" s="9">
        <v>24</v>
      </c>
      <c r="E61" s="10">
        <v>45452.421527777777</v>
      </c>
      <c r="F61" s="11">
        <v>0.56999999999999995</v>
      </c>
      <c r="G61" s="9">
        <v>12682</v>
      </c>
      <c r="H61" s="9" t="s">
        <v>26</v>
      </c>
    </row>
    <row r="62" spans="1:8" ht="15" thickBot="1" x14ac:dyDescent="0.35">
      <c r="A62" s="12">
        <v>50061</v>
      </c>
      <c r="B62" s="6">
        <v>22086</v>
      </c>
      <c r="C62" s="6" t="s">
        <v>41</v>
      </c>
      <c r="D62" s="6">
        <v>18</v>
      </c>
      <c r="E62" s="7">
        <v>45498.543055555558</v>
      </c>
      <c r="F62" s="8">
        <v>2.94</v>
      </c>
      <c r="G62" s="6">
        <v>12962</v>
      </c>
      <c r="H62" s="6" t="s">
        <v>26</v>
      </c>
    </row>
    <row r="63" spans="1:8" ht="15" thickBot="1" x14ac:dyDescent="0.35">
      <c r="A63" s="13">
        <v>50062</v>
      </c>
      <c r="B63" s="9">
        <v>22720</v>
      </c>
      <c r="C63" s="9" t="s">
        <v>17</v>
      </c>
      <c r="D63" s="9">
        <v>10</v>
      </c>
      <c r="E63" s="10">
        <v>45607.737500000003</v>
      </c>
      <c r="F63" s="11">
        <v>5.65</v>
      </c>
      <c r="G63" s="9">
        <v>12311</v>
      </c>
      <c r="H63" s="9" t="s">
        <v>22</v>
      </c>
    </row>
    <row r="64" spans="1:8" ht="15" thickBot="1" x14ac:dyDescent="0.35">
      <c r="A64" s="12">
        <v>50063</v>
      </c>
      <c r="B64" s="6">
        <v>22727</v>
      </c>
      <c r="C64" s="6" t="s">
        <v>46</v>
      </c>
      <c r="D64" s="6">
        <v>20</v>
      </c>
      <c r="E64" s="7">
        <v>45512.745138888888</v>
      </c>
      <c r="F64" s="8">
        <v>3.8</v>
      </c>
      <c r="G64" s="6">
        <v>12452</v>
      </c>
      <c r="H64" s="6" t="s">
        <v>37</v>
      </c>
    </row>
    <row r="65" spans="1:8" ht="15" thickBot="1" x14ac:dyDescent="0.35">
      <c r="A65" s="13">
        <v>50064</v>
      </c>
      <c r="B65" s="9" t="s">
        <v>33</v>
      </c>
      <c r="C65" s="9" t="s">
        <v>34</v>
      </c>
      <c r="D65" s="9">
        <v>22</v>
      </c>
      <c r="E65" s="10">
        <v>45534.453472222223</v>
      </c>
      <c r="F65" s="11">
        <v>18.55</v>
      </c>
      <c r="G65" s="9">
        <v>12648</v>
      </c>
      <c r="H65" s="9" t="s">
        <v>20</v>
      </c>
    </row>
    <row r="66" spans="1:8" ht="15" thickBot="1" x14ac:dyDescent="0.35">
      <c r="A66" s="12">
        <v>50065</v>
      </c>
      <c r="B66" s="6">
        <v>22086</v>
      </c>
      <c r="C66" s="6" t="s">
        <v>41</v>
      </c>
      <c r="D66" s="6">
        <v>22</v>
      </c>
      <c r="E66" s="7">
        <v>45339.5</v>
      </c>
      <c r="F66" s="8">
        <v>3.34</v>
      </c>
      <c r="G66" s="6">
        <v>12150</v>
      </c>
      <c r="H66" s="6" t="s">
        <v>14</v>
      </c>
    </row>
    <row r="67" spans="1:8" ht="15" thickBot="1" x14ac:dyDescent="0.35">
      <c r="A67" s="13">
        <v>50066</v>
      </c>
      <c r="B67" s="9">
        <v>71053</v>
      </c>
      <c r="C67" s="9" t="s">
        <v>38</v>
      </c>
      <c r="D67" s="9">
        <v>20</v>
      </c>
      <c r="E67" s="10">
        <v>45417.67083333333</v>
      </c>
      <c r="F67" s="11">
        <v>2.97</v>
      </c>
      <c r="G67" s="9">
        <v>12424</v>
      </c>
      <c r="H67" s="9" t="s">
        <v>20</v>
      </c>
    </row>
    <row r="68" spans="1:8" ht="15" thickBot="1" x14ac:dyDescent="0.35">
      <c r="A68" s="12">
        <v>50067</v>
      </c>
      <c r="B68" s="6">
        <v>22727</v>
      </c>
      <c r="C68" s="6" t="s">
        <v>46</v>
      </c>
      <c r="D68" s="6">
        <v>16</v>
      </c>
      <c r="E68" s="7">
        <v>45648.606249999997</v>
      </c>
      <c r="F68" s="8">
        <v>3.38</v>
      </c>
      <c r="G68" s="6">
        <v>12704</v>
      </c>
      <c r="H68" s="6" t="s">
        <v>14</v>
      </c>
    </row>
    <row r="69" spans="1:8" ht="15" thickBot="1" x14ac:dyDescent="0.35">
      <c r="A69" s="13">
        <v>50068</v>
      </c>
      <c r="B69" s="9" t="s">
        <v>8</v>
      </c>
      <c r="C69" s="9" t="s">
        <v>9</v>
      </c>
      <c r="D69" s="9">
        <v>6</v>
      </c>
      <c r="E69" s="10">
        <v>45509.488888888889</v>
      </c>
      <c r="F69" s="11">
        <v>3.71</v>
      </c>
      <c r="G69" s="9">
        <v>12475</v>
      </c>
      <c r="H69" s="9" t="s">
        <v>14</v>
      </c>
    </row>
    <row r="70" spans="1:8" ht="15" thickBot="1" x14ac:dyDescent="0.35">
      <c r="A70" s="12">
        <v>50069</v>
      </c>
      <c r="B70" s="6" t="s">
        <v>15</v>
      </c>
      <c r="C70" s="6" t="s">
        <v>16</v>
      </c>
      <c r="D70" s="6">
        <v>15</v>
      </c>
      <c r="E70" s="7">
        <v>45419.419444444444</v>
      </c>
      <c r="F70" s="8">
        <v>2.99</v>
      </c>
      <c r="G70" s="6">
        <v>12543</v>
      </c>
      <c r="H70" s="6" t="s">
        <v>10</v>
      </c>
    </row>
    <row r="71" spans="1:8" ht="15" thickBot="1" x14ac:dyDescent="0.35">
      <c r="A71" s="13">
        <v>50070</v>
      </c>
      <c r="B71" s="9">
        <v>84991</v>
      </c>
      <c r="C71" s="9" t="s">
        <v>25</v>
      </c>
      <c r="D71" s="9">
        <v>20</v>
      </c>
      <c r="E71" s="10">
        <v>45454.647916666669</v>
      </c>
      <c r="F71" s="11">
        <v>0.64</v>
      </c>
      <c r="G71" s="9">
        <v>12436</v>
      </c>
      <c r="H71" s="9" t="s">
        <v>10</v>
      </c>
    </row>
    <row r="72" spans="1:8" ht="15" thickBot="1" x14ac:dyDescent="0.35">
      <c r="A72" s="12">
        <v>50071</v>
      </c>
      <c r="B72" s="6">
        <v>20725</v>
      </c>
      <c r="C72" s="6" t="s">
        <v>19</v>
      </c>
      <c r="D72" s="6">
        <v>15</v>
      </c>
      <c r="E72" s="7">
        <v>45373.67083333333</v>
      </c>
      <c r="F72" s="8">
        <v>1.55</v>
      </c>
      <c r="G72" s="6">
        <v>12652</v>
      </c>
      <c r="H72" s="6" t="s">
        <v>22</v>
      </c>
    </row>
    <row r="73" spans="1:8" ht="15" thickBot="1" x14ac:dyDescent="0.35">
      <c r="A73" s="13">
        <v>50072</v>
      </c>
      <c r="B73" s="9" t="s">
        <v>33</v>
      </c>
      <c r="C73" s="9" t="s">
        <v>34</v>
      </c>
      <c r="D73" s="9"/>
      <c r="E73" s="10">
        <v>45540.50277777778</v>
      </c>
      <c r="F73" s="11">
        <v>19.8</v>
      </c>
      <c r="G73" s="9">
        <v>12240</v>
      </c>
      <c r="H73" s="9" t="s">
        <v>22</v>
      </c>
    </row>
    <row r="74" spans="1:8" ht="15" thickBot="1" x14ac:dyDescent="0.35">
      <c r="A74" s="12">
        <v>50073</v>
      </c>
      <c r="B74" s="6">
        <v>22086</v>
      </c>
      <c r="C74" s="6" t="s">
        <v>41</v>
      </c>
      <c r="D74" s="6">
        <v>3</v>
      </c>
      <c r="E74" s="7">
        <v>45455.717361111114</v>
      </c>
      <c r="F74" s="8">
        <v>2.75</v>
      </c>
      <c r="G74" s="6">
        <v>12710</v>
      </c>
      <c r="H74" s="6" t="s">
        <v>23</v>
      </c>
    </row>
    <row r="75" spans="1:8" ht="15" thickBot="1" x14ac:dyDescent="0.35">
      <c r="A75" s="13">
        <v>50074</v>
      </c>
      <c r="B75" s="9">
        <v>22727</v>
      </c>
      <c r="C75" s="9" t="s">
        <v>46</v>
      </c>
      <c r="D75" s="9">
        <v>14</v>
      </c>
      <c r="E75" s="10">
        <v>45324.62777777778</v>
      </c>
      <c r="F75" s="11">
        <v>3.8</v>
      </c>
      <c r="G75" s="9">
        <v>12063</v>
      </c>
      <c r="H75" s="9" t="s">
        <v>37</v>
      </c>
    </row>
    <row r="76" spans="1:8" ht="15" thickBot="1" x14ac:dyDescent="0.35">
      <c r="A76" s="12" t="s">
        <v>48</v>
      </c>
      <c r="B76" s="6" t="s">
        <v>39</v>
      </c>
      <c r="C76" s="6" t="s">
        <v>40</v>
      </c>
      <c r="D76" s="6">
        <v>-7</v>
      </c>
      <c r="E76" s="7">
        <v>45491.748611111114</v>
      </c>
      <c r="F76" s="8">
        <v>2.12</v>
      </c>
      <c r="G76" s="6">
        <v>12965</v>
      </c>
      <c r="H76" s="6" t="s">
        <v>18</v>
      </c>
    </row>
    <row r="77" spans="1:8" ht="15" thickBot="1" x14ac:dyDescent="0.35">
      <c r="A77" s="13">
        <v>50076</v>
      </c>
      <c r="B77" s="9">
        <v>22960</v>
      </c>
      <c r="C77" s="9" t="s">
        <v>49</v>
      </c>
      <c r="D77" s="9">
        <v>18</v>
      </c>
      <c r="E77" s="10">
        <v>45491.631249999999</v>
      </c>
      <c r="F77" s="11">
        <v>4.42</v>
      </c>
      <c r="G77" s="9">
        <v>12617</v>
      </c>
      <c r="H77" s="9" t="s">
        <v>37</v>
      </c>
    </row>
    <row r="78" spans="1:8" ht="15" thickBot="1" x14ac:dyDescent="0.35">
      <c r="A78" s="12">
        <v>50077</v>
      </c>
      <c r="B78" s="6">
        <v>23203</v>
      </c>
      <c r="C78" s="6" t="s">
        <v>30</v>
      </c>
      <c r="D78" s="6">
        <v>14</v>
      </c>
      <c r="E78" s="7">
        <v>45404.527083333334</v>
      </c>
      <c r="F78" s="8">
        <v>2.0499999999999998</v>
      </c>
      <c r="G78" s="6">
        <v>12684</v>
      </c>
      <c r="H78" s="6" t="s">
        <v>26</v>
      </c>
    </row>
    <row r="79" spans="1:8" ht="15" thickBot="1" x14ac:dyDescent="0.35">
      <c r="A79" s="13">
        <v>50078</v>
      </c>
      <c r="B79" s="9">
        <v>22720</v>
      </c>
      <c r="C79" s="9" t="s">
        <v>17</v>
      </c>
      <c r="D79" s="9">
        <v>20</v>
      </c>
      <c r="E79" s="10">
        <v>45531.423611111109</v>
      </c>
      <c r="F79" s="11">
        <v>5.78</v>
      </c>
      <c r="G79" s="9">
        <v>12606</v>
      </c>
      <c r="H79" s="9" t="s">
        <v>20</v>
      </c>
    </row>
    <row r="80" spans="1:8" ht="15" thickBot="1" x14ac:dyDescent="0.35">
      <c r="A80" s="12">
        <v>50079</v>
      </c>
      <c r="B80" s="6" t="s">
        <v>31</v>
      </c>
      <c r="C80" s="6" t="s">
        <v>32</v>
      </c>
      <c r="D80" s="6">
        <v>5</v>
      </c>
      <c r="E80" s="7">
        <v>45334.637499999997</v>
      </c>
      <c r="F80" s="8">
        <v>2.33</v>
      </c>
      <c r="G80" s="6">
        <v>12266</v>
      </c>
      <c r="H80" s="6" t="s">
        <v>26</v>
      </c>
    </row>
    <row r="81" spans="1:8" ht="15" thickBot="1" x14ac:dyDescent="0.35">
      <c r="A81" s="13">
        <v>50080</v>
      </c>
      <c r="B81" s="9">
        <v>22086</v>
      </c>
      <c r="C81" s="9" t="s">
        <v>41</v>
      </c>
      <c r="D81" s="9">
        <v>11</v>
      </c>
      <c r="E81" s="10">
        <v>45400.65625</v>
      </c>
      <c r="F81" s="11">
        <v>3.42</v>
      </c>
      <c r="G81" s="9">
        <v>12284</v>
      </c>
      <c r="H81" s="9" t="s">
        <v>26</v>
      </c>
    </row>
    <row r="82" spans="1:8" ht="15" thickBot="1" x14ac:dyDescent="0.35">
      <c r="A82" s="12">
        <v>50081</v>
      </c>
      <c r="B82" s="6">
        <v>47566</v>
      </c>
      <c r="C82" s="6" t="s">
        <v>27</v>
      </c>
      <c r="D82" s="6">
        <v>1</v>
      </c>
      <c r="E82" s="7">
        <v>45333.667361111111</v>
      </c>
      <c r="F82" s="8">
        <v>4.3</v>
      </c>
      <c r="G82" s="6">
        <v>12974</v>
      </c>
      <c r="H82" s="6" t="s">
        <v>18</v>
      </c>
    </row>
    <row r="83" spans="1:8" ht="15" thickBot="1" x14ac:dyDescent="0.35">
      <c r="A83" s="13" t="s">
        <v>50</v>
      </c>
      <c r="B83" s="9">
        <v>22423</v>
      </c>
      <c r="C83" s="9" t="s">
        <v>36</v>
      </c>
      <c r="D83" s="9">
        <v>-1</v>
      </c>
      <c r="E83" s="10">
        <v>45624.381944444445</v>
      </c>
      <c r="F83" s="11">
        <v>15.08</v>
      </c>
      <c r="G83" s="9">
        <v>12204</v>
      </c>
      <c r="H83" s="9" t="s">
        <v>14</v>
      </c>
    </row>
    <row r="84" spans="1:8" ht="15" thickBot="1" x14ac:dyDescent="0.35">
      <c r="A84" s="12">
        <v>50083</v>
      </c>
      <c r="B84" s="6">
        <v>84991</v>
      </c>
      <c r="C84" s="6" t="s">
        <v>25</v>
      </c>
      <c r="D84" s="6">
        <v>5</v>
      </c>
      <c r="E84" s="7">
        <v>45370.50277777778</v>
      </c>
      <c r="F84" s="8">
        <v>0.49</v>
      </c>
      <c r="G84" s="6">
        <v>12970</v>
      </c>
      <c r="H84" s="6" t="s">
        <v>37</v>
      </c>
    </row>
    <row r="85" spans="1:8" ht="15" thickBot="1" x14ac:dyDescent="0.35">
      <c r="A85" s="13">
        <v>50084</v>
      </c>
      <c r="B85" s="9">
        <v>20725</v>
      </c>
      <c r="C85" s="9" t="s">
        <v>19</v>
      </c>
      <c r="D85" s="9">
        <v>12</v>
      </c>
      <c r="E85" s="10">
        <v>45650.515277777777</v>
      </c>
      <c r="F85" s="11">
        <v>1.75</v>
      </c>
      <c r="G85" s="9">
        <v>12765</v>
      </c>
      <c r="H85" s="9" t="s">
        <v>24</v>
      </c>
    </row>
    <row r="86" spans="1:8" ht="15" thickBot="1" x14ac:dyDescent="0.35">
      <c r="A86" s="12" t="s">
        <v>51</v>
      </c>
      <c r="B86" s="6">
        <v>22720</v>
      </c>
      <c r="C86" s="6" t="s">
        <v>17</v>
      </c>
      <c r="D86" s="6">
        <v>-5</v>
      </c>
      <c r="E86" s="7">
        <v>45451.409722222219</v>
      </c>
      <c r="F86" s="8">
        <v>5.21</v>
      </c>
      <c r="G86" s="6">
        <v>12929</v>
      </c>
      <c r="H86" s="6" t="s">
        <v>26</v>
      </c>
    </row>
    <row r="87" spans="1:8" ht="15" thickBot="1" x14ac:dyDescent="0.35">
      <c r="A87" s="13">
        <v>50086</v>
      </c>
      <c r="B87" s="9">
        <v>22386</v>
      </c>
      <c r="C87" s="9" t="s">
        <v>29</v>
      </c>
      <c r="D87" s="9">
        <v>19</v>
      </c>
      <c r="E87" s="10">
        <v>45393.386805555558</v>
      </c>
      <c r="F87" s="11">
        <v>2.09</v>
      </c>
      <c r="G87" s="9">
        <v>12104</v>
      </c>
      <c r="H87" s="9" t="s">
        <v>22</v>
      </c>
    </row>
    <row r="88" spans="1:8" ht="15" thickBot="1" x14ac:dyDescent="0.35">
      <c r="A88" s="12">
        <v>50087</v>
      </c>
      <c r="B88" s="6">
        <v>84991</v>
      </c>
      <c r="C88" s="6" t="s">
        <v>25</v>
      </c>
      <c r="D88" s="6">
        <v>2</v>
      </c>
      <c r="E88" s="7">
        <v>45353.73541666667</v>
      </c>
      <c r="F88" s="8">
        <v>0.55000000000000004</v>
      </c>
      <c r="G88" s="6">
        <v>12379</v>
      </c>
      <c r="H88" s="6" t="s">
        <v>24</v>
      </c>
    </row>
    <row r="89" spans="1:8" ht="15" thickBot="1" x14ac:dyDescent="0.35">
      <c r="A89" s="13">
        <v>50088</v>
      </c>
      <c r="B89" s="9" t="s">
        <v>33</v>
      </c>
      <c r="C89" s="9" t="s">
        <v>34</v>
      </c>
      <c r="D89" s="9">
        <v>1</v>
      </c>
      <c r="E89" s="10">
        <v>45623.575694444444</v>
      </c>
      <c r="F89" s="11">
        <v>20.48</v>
      </c>
      <c r="G89" s="9">
        <v>12108</v>
      </c>
      <c r="H89" s="9" t="s">
        <v>26</v>
      </c>
    </row>
    <row r="90" spans="1:8" ht="15" thickBot="1" x14ac:dyDescent="0.35">
      <c r="A90" s="12">
        <v>50089</v>
      </c>
      <c r="B90" s="6">
        <v>21212</v>
      </c>
      <c r="C90" s="6" t="s">
        <v>21</v>
      </c>
      <c r="D90" s="6">
        <v>23</v>
      </c>
      <c r="E90" s="7">
        <v>45617.659722222219</v>
      </c>
      <c r="F90" s="8">
        <v>0.5</v>
      </c>
      <c r="G90" s="6">
        <v>12534</v>
      </c>
      <c r="H90" s="6" t="s">
        <v>22</v>
      </c>
    </row>
    <row r="91" spans="1:8" ht="15" thickBot="1" x14ac:dyDescent="0.35">
      <c r="A91" s="13">
        <v>50090</v>
      </c>
      <c r="B91" s="9">
        <v>84991</v>
      </c>
      <c r="C91" s="9" t="s">
        <v>25</v>
      </c>
      <c r="D91" s="9">
        <v>15</v>
      </c>
      <c r="E91" s="10">
        <v>45567.677083333336</v>
      </c>
      <c r="F91" s="11">
        <v>0.61</v>
      </c>
      <c r="G91" s="9">
        <v>12274</v>
      </c>
      <c r="H91" s="9" t="s">
        <v>18</v>
      </c>
    </row>
    <row r="92" spans="1:8" ht="15" thickBot="1" x14ac:dyDescent="0.35">
      <c r="A92" s="12">
        <v>50091</v>
      </c>
      <c r="B92" s="6">
        <v>22423</v>
      </c>
      <c r="C92" s="6" t="s">
        <v>36</v>
      </c>
      <c r="D92" s="6">
        <v>15</v>
      </c>
      <c r="E92" s="7">
        <v>45336.53125</v>
      </c>
      <c r="F92" s="8">
        <v>12.91</v>
      </c>
      <c r="G92" s="6">
        <v>12624</v>
      </c>
      <c r="H92" s="6" t="s">
        <v>26</v>
      </c>
    </row>
    <row r="93" spans="1:8" ht="15" thickBot="1" x14ac:dyDescent="0.35">
      <c r="A93" s="13">
        <v>50092</v>
      </c>
      <c r="B93" s="9">
        <v>22086</v>
      </c>
      <c r="C93" s="9" t="s">
        <v>41</v>
      </c>
      <c r="D93" s="9">
        <v>11</v>
      </c>
      <c r="E93" s="10">
        <v>45306.68472222222</v>
      </c>
      <c r="F93" s="11">
        <v>2.73</v>
      </c>
      <c r="G93" s="9">
        <v>12816</v>
      </c>
      <c r="H93" s="9" t="s">
        <v>22</v>
      </c>
    </row>
    <row r="94" spans="1:8" ht="15" thickBot="1" x14ac:dyDescent="0.35">
      <c r="A94" s="12" t="s">
        <v>52</v>
      </c>
      <c r="B94" s="6">
        <v>22086</v>
      </c>
      <c r="C94" s="6" t="s">
        <v>41</v>
      </c>
      <c r="D94" s="6">
        <v>-4</v>
      </c>
      <c r="E94" s="7">
        <v>45435.529166666667</v>
      </c>
      <c r="F94" s="8">
        <v>2.6</v>
      </c>
      <c r="G94" s="6">
        <v>12737</v>
      </c>
      <c r="H94" s="6" t="s">
        <v>26</v>
      </c>
    </row>
    <row r="95" spans="1:8" ht="15" thickBot="1" x14ac:dyDescent="0.35">
      <c r="A95" s="13">
        <v>50094</v>
      </c>
      <c r="B95" s="9">
        <v>23203</v>
      </c>
      <c r="C95" s="9" t="s">
        <v>30</v>
      </c>
      <c r="D95" s="9">
        <v>23</v>
      </c>
      <c r="E95" s="10">
        <v>45576.504166666666</v>
      </c>
      <c r="F95" s="11">
        <v>2.29</v>
      </c>
      <c r="G95" s="9">
        <v>12458</v>
      </c>
      <c r="H95" s="9" t="s">
        <v>14</v>
      </c>
    </row>
    <row r="96" spans="1:8" ht="15" thickBot="1" x14ac:dyDescent="0.35">
      <c r="A96" s="12">
        <v>50095</v>
      </c>
      <c r="B96" s="6" t="s">
        <v>12</v>
      </c>
      <c r="C96" s="6" t="s">
        <v>13</v>
      </c>
      <c r="D96" s="6">
        <v>13</v>
      </c>
      <c r="E96" s="7">
        <v>45442.490277777775</v>
      </c>
      <c r="F96" s="8">
        <v>2.63</v>
      </c>
      <c r="G96" s="6">
        <v>12595</v>
      </c>
      <c r="H96" s="6" t="s">
        <v>18</v>
      </c>
    </row>
    <row r="97" spans="1:8" ht="15" thickBot="1" x14ac:dyDescent="0.35">
      <c r="A97" s="13">
        <v>50096</v>
      </c>
      <c r="B97" s="9">
        <v>23203</v>
      </c>
      <c r="C97" s="9" t="s">
        <v>30</v>
      </c>
      <c r="D97" s="9">
        <v>12</v>
      </c>
      <c r="E97" s="10">
        <v>45575.710416666669</v>
      </c>
      <c r="F97" s="11">
        <v>2.31</v>
      </c>
      <c r="G97" s="9">
        <v>12338</v>
      </c>
      <c r="H97" s="9" t="s">
        <v>18</v>
      </c>
    </row>
    <row r="98" spans="1:8" ht="15" thickBot="1" x14ac:dyDescent="0.35">
      <c r="A98" s="12">
        <v>50097</v>
      </c>
      <c r="B98" s="6">
        <v>20725</v>
      </c>
      <c r="C98" s="6" t="s">
        <v>19</v>
      </c>
      <c r="D98" s="6">
        <v>9</v>
      </c>
      <c r="E98" s="7">
        <v>45430.550694444442</v>
      </c>
      <c r="F98" s="8">
        <v>1.82</v>
      </c>
      <c r="G98" s="6">
        <v>12323</v>
      </c>
      <c r="H98" s="6" t="s">
        <v>24</v>
      </c>
    </row>
    <row r="99" spans="1:8" ht="15" thickBot="1" x14ac:dyDescent="0.35">
      <c r="A99" s="13">
        <v>50098</v>
      </c>
      <c r="B99" s="9" t="s">
        <v>15</v>
      </c>
      <c r="C99" s="9" t="s">
        <v>16</v>
      </c>
      <c r="D99" s="9">
        <v>7</v>
      </c>
      <c r="E99" s="10">
        <v>45645.464583333334</v>
      </c>
      <c r="F99" s="11">
        <v>3.01</v>
      </c>
      <c r="G99" s="9">
        <v>12741</v>
      </c>
      <c r="H99" s="9" t="s">
        <v>20</v>
      </c>
    </row>
    <row r="100" spans="1:8" ht="15" thickBot="1" x14ac:dyDescent="0.35">
      <c r="A100" s="12">
        <v>50099</v>
      </c>
      <c r="B100" s="6" t="s">
        <v>33</v>
      </c>
      <c r="C100" s="6" t="s">
        <v>34</v>
      </c>
      <c r="D100" s="6">
        <v>4</v>
      </c>
      <c r="E100" s="7">
        <v>45597.53402777778</v>
      </c>
      <c r="F100" s="8">
        <v>17.170000000000002</v>
      </c>
      <c r="G100" s="6">
        <v>12369</v>
      </c>
      <c r="H100" s="6" t="s">
        <v>23</v>
      </c>
    </row>
    <row r="101" spans="1:8" ht="15" thickBot="1" x14ac:dyDescent="0.35">
      <c r="A101" s="13">
        <v>50100</v>
      </c>
      <c r="B101" s="9">
        <v>22960</v>
      </c>
      <c r="C101" s="9" t="s">
        <v>49</v>
      </c>
      <c r="D101" s="9">
        <v>5</v>
      </c>
      <c r="E101" s="10">
        <v>45299.712500000001</v>
      </c>
      <c r="F101" s="11">
        <v>5.0599999999999996</v>
      </c>
      <c r="G101" s="9">
        <v>12566</v>
      </c>
      <c r="H101" s="9" t="s">
        <v>22</v>
      </c>
    </row>
    <row r="102" spans="1:8" ht="15" thickBot="1" x14ac:dyDescent="0.35">
      <c r="A102" s="12">
        <v>50101</v>
      </c>
      <c r="B102" s="6">
        <v>84879</v>
      </c>
      <c r="C102" s="6" t="s">
        <v>45</v>
      </c>
      <c r="D102" s="6">
        <v>4</v>
      </c>
      <c r="E102" s="7">
        <v>45618.681944444441</v>
      </c>
      <c r="F102" s="8">
        <v>1.78</v>
      </c>
      <c r="G102" s="6">
        <v>12480</v>
      </c>
      <c r="H102" s="6" t="s">
        <v>28</v>
      </c>
    </row>
    <row r="103" spans="1:8" ht="15" thickBot="1" x14ac:dyDescent="0.35">
      <c r="A103" s="13">
        <v>50102</v>
      </c>
      <c r="B103" s="9">
        <v>20725</v>
      </c>
      <c r="C103" s="9" t="s">
        <v>19</v>
      </c>
      <c r="D103" s="9">
        <v>2</v>
      </c>
      <c r="E103" s="10">
        <v>45466.463888888888</v>
      </c>
      <c r="F103" s="11">
        <v>1.9</v>
      </c>
      <c r="G103" s="9">
        <v>12116</v>
      </c>
      <c r="H103" s="9" t="s">
        <v>24</v>
      </c>
    </row>
    <row r="104" spans="1:8" ht="15" thickBot="1" x14ac:dyDescent="0.35">
      <c r="A104" s="12">
        <v>50103</v>
      </c>
      <c r="B104" s="6">
        <v>22386</v>
      </c>
      <c r="C104" s="6" t="s">
        <v>29</v>
      </c>
      <c r="D104" s="6">
        <v>19</v>
      </c>
      <c r="E104" s="7">
        <v>45543.385416666664</v>
      </c>
      <c r="F104" s="8">
        <v>1.69</v>
      </c>
      <c r="G104" s="6">
        <v>12152</v>
      </c>
      <c r="H104" s="6" t="s">
        <v>20</v>
      </c>
    </row>
    <row r="105" spans="1:8" ht="15" thickBot="1" x14ac:dyDescent="0.35">
      <c r="A105" s="13">
        <v>50104</v>
      </c>
      <c r="B105" s="9">
        <v>22960</v>
      </c>
      <c r="C105" s="9" t="s">
        <v>49</v>
      </c>
      <c r="D105" s="9">
        <v>4</v>
      </c>
      <c r="E105" s="10">
        <v>45335.509722222225</v>
      </c>
      <c r="F105" s="11">
        <v>4.2300000000000004</v>
      </c>
      <c r="G105" s="9">
        <v>12610</v>
      </c>
      <c r="H105" s="9" t="s">
        <v>20</v>
      </c>
    </row>
    <row r="106" spans="1:8" ht="15" thickBot="1" x14ac:dyDescent="0.35">
      <c r="A106" s="12">
        <v>50105</v>
      </c>
      <c r="B106" s="6">
        <v>22423</v>
      </c>
      <c r="C106" s="6" t="s">
        <v>36</v>
      </c>
      <c r="D106" s="6">
        <v>15</v>
      </c>
      <c r="E106" s="7">
        <v>45559.603472222225</v>
      </c>
      <c r="F106" s="8">
        <v>12.16</v>
      </c>
      <c r="G106" s="6">
        <v>12602</v>
      </c>
      <c r="H106" s="6" t="s">
        <v>26</v>
      </c>
    </row>
    <row r="107" spans="1:8" ht="15" thickBot="1" x14ac:dyDescent="0.35">
      <c r="A107" s="13">
        <v>50106</v>
      </c>
      <c r="B107" s="9">
        <v>22960</v>
      </c>
      <c r="C107" s="9" t="s">
        <v>49</v>
      </c>
      <c r="D107" s="9">
        <v>20</v>
      </c>
      <c r="E107" s="10">
        <v>45583.375694444447</v>
      </c>
      <c r="F107" s="11">
        <v>3.76</v>
      </c>
      <c r="G107" s="9">
        <v>12781</v>
      </c>
      <c r="H107" s="9" t="s">
        <v>37</v>
      </c>
    </row>
    <row r="108" spans="1:8" ht="15" thickBot="1" x14ac:dyDescent="0.35">
      <c r="A108" s="12">
        <v>50107</v>
      </c>
      <c r="B108" s="6">
        <v>22727</v>
      </c>
      <c r="C108" s="6" t="s">
        <v>46</v>
      </c>
      <c r="D108" s="6">
        <v>6</v>
      </c>
      <c r="E108" s="7">
        <v>45427.390972222223</v>
      </c>
      <c r="F108" s="8">
        <v>3.91</v>
      </c>
      <c r="G108" s="6">
        <v>12160</v>
      </c>
      <c r="H108" s="6" t="s">
        <v>14</v>
      </c>
    </row>
    <row r="109" spans="1:8" ht="15" thickBot="1" x14ac:dyDescent="0.35">
      <c r="A109" s="13" t="s">
        <v>53</v>
      </c>
      <c r="B109" s="9" t="s">
        <v>39</v>
      </c>
      <c r="C109" s="9" t="s">
        <v>40</v>
      </c>
      <c r="D109" s="9">
        <v>-5</v>
      </c>
      <c r="E109" s="10">
        <v>45522.667361111111</v>
      </c>
      <c r="F109" s="11">
        <v>2.2799999999999998</v>
      </c>
      <c r="G109" s="9">
        <v>12719</v>
      </c>
      <c r="H109" s="9" t="s">
        <v>28</v>
      </c>
    </row>
    <row r="110" spans="1:8" ht="15" thickBot="1" x14ac:dyDescent="0.35">
      <c r="A110" s="12">
        <v>50109</v>
      </c>
      <c r="B110" s="6" t="s">
        <v>12</v>
      </c>
      <c r="C110" s="6" t="s">
        <v>13</v>
      </c>
      <c r="D110" s="6">
        <v>9</v>
      </c>
      <c r="E110" s="7">
        <v>45643.499305555553</v>
      </c>
      <c r="F110" s="8">
        <v>2.94</v>
      </c>
      <c r="G110" s="6">
        <v>12677</v>
      </c>
      <c r="H110" s="6" t="s">
        <v>37</v>
      </c>
    </row>
    <row r="111" spans="1:8" ht="15" thickBot="1" x14ac:dyDescent="0.35">
      <c r="A111" s="13">
        <v>50110</v>
      </c>
      <c r="B111" s="9" t="s">
        <v>39</v>
      </c>
      <c r="C111" s="9" t="s">
        <v>40</v>
      </c>
      <c r="D111" s="9">
        <v>8</v>
      </c>
      <c r="E111" s="10">
        <v>45350.720138888886</v>
      </c>
      <c r="F111" s="11">
        <v>2.4300000000000002</v>
      </c>
      <c r="G111" s="9">
        <v>12846</v>
      </c>
      <c r="H111" s="9" t="s">
        <v>23</v>
      </c>
    </row>
    <row r="112" spans="1:8" ht="15" thickBot="1" x14ac:dyDescent="0.35">
      <c r="A112" s="12">
        <v>50111</v>
      </c>
      <c r="B112" s="6" t="s">
        <v>12</v>
      </c>
      <c r="C112" s="6" t="s">
        <v>13</v>
      </c>
      <c r="D112" s="6">
        <v>10</v>
      </c>
      <c r="E112" s="7">
        <v>45322.450694444444</v>
      </c>
      <c r="F112" s="8">
        <v>3.13</v>
      </c>
      <c r="G112" s="6">
        <v>12943</v>
      </c>
      <c r="H112" s="6" t="s">
        <v>22</v>
      </c>
    </row>
    <row r="113" spans="1:8" ht="15" thickBot="1" x14ac:dyDescent="0.35">
      <c r="A113" s="13">
        <v>50112</v>
      </c>
      <c r="B113" s="9">
        <v>20725</v>
      </c>
      <c r="C113" s="9" t="s">
        <v>19</v>
      </c>
      <c r="D113" s="9">
        <v>23</v>
      </c>
      <c r="E113" s="10">
        <v>45355.665972222225</v>
      </c>
      <c r="F113" s="11">
        <v>1.63</v>
      </c>
      <c r="G113" s="9">
        <v>12278</v>
      </c>
      <c r="H113" s="9" t="s">
        <v>10</v>
      </c>
    </row>
    <row r="114" spans="1:8" ht="15" thickBot="1" x14ac:dyDescent="0.35">
      <c r="A114" s="12">
        <v>50113</v>
      </c>
      <c r="B114" s="6" t="s">
        <v>15</v>
      </c>
      <c r="C114" s="6" t="s">
        <v>16</v>
      </c>
      <c r="D114" s="6">
        <v>3</v>
      </c>
      <c r="E114" s="7">
        <v>45544.644444444442</v>
      </c>
      <c r="F114" s="8">
        <v>3.43</v>
      </c>
      <c r="G114" s="6">
        <v>12752</v>
      </c>
      <c r="H114" s="6" t="s">
        <v>18</v>
      </c>
    </row>
    <row r="115" spans="1:8" ht="15" thickBot="1" x14ac:dyDescent="0.35">
      <c r="A115" s="13">
        <v>50114</v>
      </c>
      <c r="B115" s="9">
        <v>84991</v>
      </c>
      <c r="C115" s="9" t="s">
        <v>25</v>
      </c>
      <c r="D115" s="9">
        <v>3</v>
      </c>
      <c r="E115" s="10">
        <v>45420.351388888892</v>
      </c>
      <c r="F115" s="11">
        <v>0.6</v>
      </c>
      <c r="G115" s="9">
        <v>12881</v>
      </c>
      <c r="H115" s="9" t="s">
        <v>20</v>
      </c>
    </row>
    <row r="116" spans="1:8" ht="15" thickBot="1" x14ac:dyDescent="0.35">
      <c r="A116" s="12" t="s">
        <v>54</v>
      </c>
      <c r="B116" s="6" t="s">
        <v>43</v>
      </c>
      <c r="C116" s="6" t="s">
        <v>44</v>
      </c>
      <c r="D116" s="6">
        <v>-3</v>
      </c>
      <c r="E116" s="7">
        <v>45302.524305555555</v>
      </c>
      <c r="F116" s="8">
        <v>1.27</v>
      </c>
      <c r="G116" s="6">
        <v>12667</v>
      </c>
      <c r="H116" s="6" t="s">
        <v>28</v>
      </c>
    </row>
    <row r="117" spans="1:8" ht="15" thickBot="1" x14ac:dyDescent="0.35">
      <c r="A117" s="13">
        <v>50116</v>
      </c>
      <c r="B117" s="9">
        <v>47566</v>
      </c>
      <c r="C117" s="9" t="s">
        <v>27</v>
      </c>
      <c r="D117" s="9">
        <v>14</v>
      </c>
      <c r="E117" s="10">
        <v>45384.749305555553</v>
      </c>
      <c r="F117" s="11">
        <v>5.0599999999999996</v>
      </c>
      <c r="G117" s="9">
        <v>12093</v>
      </c>
      <c r="H117" s="9" t="s">
        <v>28</v>
      </c>
    </row>
    <row r="118" spans="1:8" ht="15" thickBot="1" x14ac:dyDescent="0.35">
      <c r="A118" s="12">
        <v>50117</v>
      </c>
      <c r="B118" s="6">
        <v>21212</v>
      </c>
      <c r="C118" s="6" t="s">
        <v>21</v>
      </c>
      <c r="D118" s="6">
        <v>11</v>
      </c>
      <c r="E118" s="7">
        <v>45501.570138888892</v>
      </c>
      <c r="F118" s="8">
        <v>0.63</v>
      </c>
      <c r="G118" s="6">
        <v>12337</v>
      </c>
      <c r="H118" s="6" t="s">
        <v>26</v>
      </c>
    </row>
    <row r="119" spans="1:8" ht="15" thickBot="1" x14ac:dyDescent="0.35">
      <c r="A119" s="13" t="s">
        <v>55</v>
      </c>
      <c r="B119" s="9">
        <v>23203</v>
      </c>
      <c r="C119" s="9" t="s">
        <v>30</v>
      </c>
      <c r="D119" s="9">
        <v>-2</v>
      </c>
      <c r="E119" s="10">
        <v>45439.618055555555</v>
      </c>
      <c r="F119" s="11">
        <v>2</v>
      </c>
      <c r="G119" s="9">
        <v>12331</v>
      </c>
      <c r="H119" s="9" t="s">
        <v>24</v>
      </c>
    </row>
    <row r="120" spans="1:8" ht="15" thickBot="1" x14ac:dyDescent="0.35">
      <c r="A120" s="12">
        <v>50119</v>
      </c>
      <c r="B120" s="6">
        <v>22386</v>
      </c>
      <c r="C120" s="6" t="s">
        <v>29</v>
      </c>
      <c r="D120" s="6">
        <v>22</v>
      </c>
      <c r="E120" s="7">
        <v>45555.334027777775</v>
      </c>
      <c r="F120" s="8">
        <v>1.97</v>
      </c>
      <c r="G120" s="6">
        <v>12055</v>
      </c>
      <c r="H120" s="6" t="s">
        <v>37</v>
      </c>
    </row>
    <row r="121" spans="1:8" ht="15" thickBot="1" x14ac:dyDescent="0.35">
      <c r="A121" s="13">
        <v>50120</v>
      </c>
      <c r="B121" s="9" t="s">
        <v>33</v>
      </c>
      <c r="C121" s="9" t="s">
        <v>34</v>
      </c>
      <c r="D121" s="9">
        <v>21</v>
      </c>
      <c r="E121" s="10">
        <v>45477.6875</v>
      </c>
      <c r="F121" s="11">
        <v>15.63</v>
      </c>
      <c r="G121" s="9">
        <v>12273</v>
      </c>
      <c r="H121" s="9" t="s">
        <v>10</v>
      </c>
    </row>
    <row r="122" spans="1:8" ht="15" thickBot="1" x14ac:dyDescent="0.35">
      <c r="A122" s="12">
        <v>50121</v>
      </c>
      <c r="B122" s="6">
        <v>84879</v>
      </c>
      <c r="C122" s="6" t="s">
        <v>45</v>
      </c>
      <c r="D122" s="6">
        <v>23</v>
      </c>
      <c r="E122" s="7">
        <v>45439.644444444442</v>
      </c>
      <c r="F122" s="8">
        <v>1.45</v>
      </c>
      <c r="G122" s="6">
        <v>12645</v>
      </c>
      <c r="H122" s="6" t="s">
        <v>20</v>
      </c>
    </row>
    <row r="123" spans="1:8" ht="15" thickBot="1" x14ac:dyDescent="0.35">
      <c r="A123" s="13">
        <v>50122</v>
      </c>
      <c r="B123" s="9">
        <v>22423</v>
      </c>
      <c r="C123" s="9" t="s">
        <v>36</v>
      </c>
      <c r="D123" s="9">
        <v>10</v>
      </c>
      <c r="E123" s="10">
        <v>45655.445833333331</v>
      </c>
      <c r="F123" s="11">
        <v>13.3</v>
      </c>
      <c r="G123" s="9">
        <v>12095</v>
      </c>
      <c r="H123" s="9" t="s">
        <v>37</v>
      </c>
    </row>
    <row r="124" spans="1:8" ht="15" thickBot="1" x14ac:dyDescent="0.35">
      <c r="A124" s="12">
        <v>50123</v>
      </c>
      <c r="B124" s="6" t="s">
        <v>8</v>
      </c>
      <c r="C124" s="6" t="s">
        <v>9</v>
      </c>
      <c r="D124" s="6">
        <v>21</v>
      </c>
      <c r="E124" s="7">
        <v>45528.416666666664</v>
      </c>
      <c r="F124" s="8">
        <v>3.47</v>
      </c>
      <c r="G124" s="6">
        <v>12733</v>
      </c>
      <c r="H124" s="6" t="s">
        <v>22</v>
      </c>
    </row>
    <row r="125" spans="1:8" ht="15" thickBot="1" x14ac:dyDescent="0.35">
      <c r="A125" s="13">
        <v>50124</v>
      </c>
      <c r="B125" s="9" t="s">
        <v>33</v>
      </c>
      <c r="C125" s="9" t="s">
        <v>34</v>
      </c>
      <c r="D125" s="9">
        <v>14</v>
      </c>
      <c r="E125" s="10">
        <v>45653.527083333334</v>
      </c>
      <c r="F125" s="11">
        <v>21.48</v>
      </c>
      <c r="G125" s="9">
        <v>12249</v>
      </c>
      <c r="H125" s="9" t="s">
        <v>28</v>
      </c>
    </row>
    <row r="126" spans="1:8" ht="15" thickBot="1" x14ac:dyDescent="0.35">
      <c r="A126" s="12">
        <v>50125</v>
      </c>
      <c r="B126" s="6" t="s">
        <v>15</v>
      </c>
      <c r="C126" s="6" t="s">
        <v>16</v>
      </c>
      <c r="D126" s="6">
        <v>7</v>
      </c>
      <c r="E126" s="7">
        <v>45366.605555555558</v>
      </c>
      <c r="F126" s="8">
        <v>3.03</v>
      </c>
      <c r="G126" s="6">
        <v>12900</v>
      </c>
      <c r="H126" s="6" t="s">
        <v>23</v>
      </c>
    </row>
    <row r="127" spans="1:8" ht="15" thickBot="1" x14ac:dyDescent="0.35">
      <c r="A127" s="13">
        <v>50126</v>
      </c>
      <c r="B127" s="9" t="s">
        <v>12</v>
      </c>
      <c r="C127" s="9" t="s">
        <v>13</v>
      </c>
      <c r="D127" s="9">
        <v>11</v>
      </c>
      <c r="E127" s="10">
        <v>45433.62777777778</v>
      </c>
      <c r="F127" s="11">
        <v>2.83</v>
      </c>
      <c r="G127" s="9">
        <v>12840</v>
      </c>
      <c r="H127" s="9" t="s">
        <v>14</v>
      </c>
    </row>
    <row r="128" spans="1:8" ht="15" thickBot="1" x14ac:dyDescent="0.35">
      <c r="A128" s="12">
        <v>50127</v>
      </c>
      <c r="B128" s="6">
        <v>22960</v>
      </c>
      <c r="C128" s="6" t="s">
        <v>49</v>
      </c>
      <c r="D128" s="6">
        <v>22</v>
      </c>
      <c r="E128" s="7">
        <v>45444.745138888888</v>
      </c>
      <c r="F128" s="8">
        <v>3.83</v>
      </c>
      <c r="G128" s="6">
        <v>12551</v>
      </c>
      <c r="H128" s="6" t="s">
        <v>28</v>
      </c>
    </row>
    <row r="129" spans="1:8" ht="15" thickBot="1" x14ac:dyDescent="0.35">
      <c r="A129" s="13">
        <v>50128</v>
      </c>
      <c r="B129" s="9">
        <v>21212</v>
      </c>
      <c r="C129" s="9" t="s">
        <v>21</v>
      </c>
      <c r="D129" s="9">
        <v>18</v>
      </c>
      <c r="E129" s="10">
        <v>45462.725694444445</v>
      </c>
      <c r="F129" s="11">
        <v>0.65</v>
      </c>
      <c r="G129" s="9">
        <v>12890</v>
      </c>
      <c r="H129" s="9" t="s">
        <v>37</v>
      </c>
    </row>
    <row r="130" spans="1:8" ht="15" thickBot="1" x14ac:dyDescent="0.35">
      <c r="A130" s="12">
        <v>50129</v>
      </c>
      <c r="B130" s="6">
        <v>22423</v>
      </c>
      <c r="C130" s="6" t="s">
        <v>36</v>
      </c>
      <c r="D130" s="6">
        <v>8</v>
      </c>
      <c r="E130" s="7">
        <v>45584.605555555558</v>
      </c>
      <c r="F130" s="8">
        <v>12.67</v>
      </c>
      <c r="G130" s="6">
        <v>12325</v>
      </c>
      <c r="H130" s="6" t="s">
        <v>28</v>
      </c>
    </row>
    <row r="131" spans="1:8" ht="15" thickBot="1" x14ac:dyDescent="0.35">
      <c r="A131" s="13">
        <v>50130</v>
      </c>
      <c r="B131" s="9">
        <v>22386</v>
      </c>
      <c r="C131" s="9" t="s">
        <v>29</v>
      </c>
      <c r="D131" s="9">
        <v>16</v>
      </c>
      <c r="E131" s="10">
        <v>45489.440972222219</v>
      </c>
      <c r="F131" s="11">
        <v>1.74</v>
      </c>
      <c r="G131" s="9">
        <v>12988</v>
      </c>
      <c r="H131" s="9" t="s">
        <v>20</v>
      </c>
    </row>
    <row r="132" spans="1:8" ht="15" thickBot="1" x14ac:dyDescent="0.35">
      <c r="A132" s="12">
        <v>50131</v>
      </c>
      <c r="B132" s="6">
        <v>22086</v>
      </c>
      <c r="C132" s="6" t="s">
        <v>41</v>
      </c>
      <c r="D132" s="6">
        <v>4</v>
      </c>
      <c r="E132" s="7">
        <v>45343.645833333336</v>
      </c>
      <c r="F132" s="8">
        <v>2.98</v>
      </c>
      <c r="G132" s="6">
        <v>12739</v>
      </c>
      <c r="H132" s="6" t="s">
        <v>23</v>
      </c>
    </row>
    <row r="133" spans="1:8" ht="15" thickBot="1" x14ac:dyDescent="0.35">
      <c r="A133" s="13">
        <v>50132</v>
      </c>
      <c r="B133" s="9" t="s">
        <v>39</v>
      </c>
      <c r="C133" s="9" t="s">
        <v>40</v>
      </c>
      <c r="D133" s="9">
        <v>3</v>
      </c>
      <c r="E133" s="10">
        <v>45627.443055555559</v>
      </c>
      <c r="F133" s="11">
        <v>2.4700000000000002</v>
      </c>
      <c r="G133" s="9">
        <v>12346</v>
      </c>
      <c r="H133" s="9" t="s">
        <v>20</v>
      </c>
    </row>
    <row r="134" spans="1:8" ht="15" thickBot="1" x14ac:dyDescent="0.35">
      <c r="A134" s="12">
        <v>50133</v>
      </c>
      <c r="B134" s="6">
        <v>22386</v>
      </c>
      <c r="C134" s="6" t="s">
        <v>29</v>
      </c>
      <c r="D134" s="6">
        <v>11</v>
      </c>
      <c r="E134" s="7">
        <v>45624.390277777777</v>
      </c>
      <c r="F134" s="8">
        <v>2.2400000000000002</v>
      </c>
      <c r="G134" s="6">
        <v>12389</v>
      </c>
      <c r="H134" s="6" t="s">
        <v>18</v>
      </c>
    </row>
    <row r="135" spans="1:8" ht="15" thickBot="1" x14ac:dyDescent="0.35">
      <c r="A135" s="13">
        <v>50134</v>
      </c>
      <c r="B135" s="9">
        <v>23203</v>
      </c>
      <c r="C135" s="9" t="s">
        <v>30</v>
      </c>
      <c r="D135" s="9">
        <v>20</v>
      </c>
      <c r="E135" s="10">
        <v>45569.35833333333</v>
      </c>
      <c r="F135" s="11">
        <v>2.23</v>
      </c>
      <c r="G135" s="9">
        <v>12943</v>
      </c>
      <c r="H135" s="9" t="s">
        <v>22</v>
      </c>
    </row>
    <row r="136" spans="1:8" ht="15" thickBot="1" x14ac:dyDescent="0.35">
      <c r="A136" s="12">
        <v>50135</v>
      </c>
      <c r="B136" s="6">
        <v>22423</v>
      </c>
      <c r="C136" s="6" t="s">
        <v>36</v>
      </c>
      <c r="D136" s="6">
        <v>4</v>
      </c>
      <c r="E136" s="7">
        <v>45338.64166666667</v>
      </c>
      <c r="F136" s="8">
        <v>13.98</v>
      </c>
      <c r="G136" s="6">
        <v>12102</v>
      </c>
      <c r="H136" s="6" t="s">
        <v>28</v>
      </c>
    </row>
    <row r="137" spans="1:8" ht="15" thickBot="1" x14ac:dyDescent="0.35">
      <c r="A137" s="13" t="s">
        <v>56</v>
      </c>
      <c r="B137" s="9">
        <v>22720</v>
      </c>
      <c r="C137" s="9" t="s">
        <v>17</v>
      </c>
      <c r="D137" s="9">
        <v>-1</v>
      </c>
      <c r="E137" s="10">
        <v>45647.54583333333</v>
      </c>
      <c r="F137" s="11">
        <v>4.72</v>
      </c>
      <c r="G137" s="9">
        <v>12383</v>
      </c>
      <c r="H137" s="9" t="s">
        <v>26</v>
      </c>
    </row>
    <row r="138" spans="1:8" ht="15" thickBot="1" x14ac:dyDescent="0.35">
      <c r="A138" s="12">
        <v>50137</v>
      </c>
      <c r="B138" s="6">
        <v>84879</v>
      </c>
      <c r="C138" s="6" t="s">
        <v>45</v>
      </c>
      <c r="D138" s="6">
        <v>14</v>
      </c>
      <c r="E138" s="7">
        <v>45417.710416666669</v>
      </c>
      <c r="F138" s="8">
        <v>1.91</v>
      </c>
      <c r="G138" s="6">
        <v>12174</v>
      </c>
      <c r="H138" s="6" t="s">
        <v>23</v>
      </c>
    </row>
    <row r="139" spans="1:8" ht="15" thickBot="1" x14ac:dyDescent="0.35">
      <c r="A139" s="13">
        <v>50138</v>
      </c>
      <c r="B139" s="9" t="s">
        <v>12</v>
      </c>
      <c r="C139" s="9" t="s">
        <v>13</v>
      </c>
      <c r="D139" s="9">
        <v>20</v>
      </c>
      <c r="E139" s="10">
        <v>45604.604861111111</v>
      </c>
      <c r="F139" s="11">
        <v>2.82</v>
      </c>
      <c r="G139" s="9">
        <v>12597</v>
      </c>
      <c r="H139" s="9" t="s">
        <v>23</v>
      </c>
    </row>
    <row r="140" spans="1:8" ht="15" thickBot="1" x14ac:dyDescent="0.35">
      <c r="A140" s="12">
        <v>50139</v>
      </c>
      <c r="B140" s="6">
        <v>22423</v>
      </c>
      <c r="C140" s="6" t="s">
        <v>36</v>
      </c>
      <c r="D140" s="6">
        <v>15</v>
      </c>
      <c r="E140" s="7">
        <v>45528.513888888891</v>
      </c>
      <c r="F140" s="8">
        <v>10.88</v>
      </c>
      <c r="G140" s="6">
        <v>12823</v>
      </c>
      <c r="H140" s="6" t="s">
        <v>28</v>
      </c>
    </row>
    <row r="141" spans="1:8" ht="15" thickBot="1" x14ac:dyDescent="0.35">
      <c r="A141" s="13">
        <v>50140</v>
      </c>
      <c r="B141" s="9">
        <v>22960</v>
      </c>
      <c r="C141" s="9" t="s">
        <v>49</v>
      </c>
      <c r="D141" s="9">
        <v>6</v>
      </c>
      <c r="E141" s="10">
        <v>45638.72152777778</v>
      </c>
      <c r="F141" s="11">
        <v>5.0199999999999996</v>
      </c>
      <c r="G141" s="9">
        <v>12601</v>
      </c>
      <c r="H141" s="9" t="s">
        <v>22</v>
      </c>
    </row>
    <row r="142" spans="1:8" ht="15" thickBot="1" x14ac:dyDescent="0.35">
      <c r="A142" s="12">
        <v>50141</v>
      </c>
      <c r="B142" s="6" t="s">
        <v>39</v>
      </c>
      <c r="C142" s="6" t="s">
        <v>40</v>
      </c>
      <c r="D142" s="6">
        <v>15</v>
      </c>
      <c r="E142" s="7">
        <v>45645.511111111111</v>
      </c>
      <c r="F142" s="8">
        <v>1.91</v>
      </c>
      <c r="G142" s="6">
        <v>12393</v>
      </c>
      <c r="H142" s="6" t="s">
        <v>28</v>
      </c>
    </row>
    <row r="143" spans="1:8" ht="15" thickBot="1" x14ac:dyDescent="0.35">
      <c r="A143" s="13">
        <v>50142</v>
      </c>
      <c r="B143" s="9" t="s">
        <v>8</v>
      </c>
      <c r="C143" s="9" t="s">
        <v>9</v>
      </c>
      <c r="D143" s="9">
        <v>19</v>
      </c>
      <c r="E143" s="10">
        <v>45413.604166666664</v>
      </c>
      <c r="F143" s="11">
        <v>3.23</v>
      </c>
      <c r="G143" s="9">
        <v>12716</v>
      </c>
      <c r="H143" s="9" t="s">
        <v>22</v>
      </c>
    </row>
    <row r="144" spans="1:8" ht="15" thickBot="1" x14ac:dyDescent="0.35">
      <c r="A144" s="12" t="s">
        <v>57</v>
      </c>
      <c r="B144" s="6" t="s">
        <v>31</v>
      </c>
      <c r="C144" s="6" t="s">
        <v>32</v>
      </c>
      <c r="D144" s="6">
        <v>-1</v>
      </c>
      <c r="E144" s="7">
        <v>45629.614583333336</v>
      </c>
      <c r="F144" s="8">
        <v>2.98</v>
      </c>
      <c r="G144" s="6">
        <v>12763</v>
      </c>
      <c r="H144" s="6" t="s">
        <v>28</v>
      </c>
    </row>
    <row r="145" spans="1:8" ht="15" thickBot="1" x14ac:dyDescent="0.35">
      <c r="A145" s="13">
        <v>50144</v>
      </c>
      <c r="B145" s="9">
        <v>22960</v>
      </c>
      <c r="C145" s="9" t="s">
        <v>49</v>
      </c>
      <c r="D145" s="9">
        <v>8</v>
      </c>
      <c r="E145" s="10">
        <v>45409.583333333336</v>
      </c>
      <c r="F145" s="11">
        <v>4.54</v>
      </c>
      <c r="G145" s="9">
        <v>12694</v>
      </c>
      <c r="H145" s="9" t="s">
        <v>23</v>
      </c>
    </row>
    <row r="146" spans="1:8" ht="15" thickBot="1" x14ac:dyDescent="0.35">
      <c r="A146" s="12">
        <v>50145</v>
      </c>
      <c r="B146" s="6" t="s">
        <v>8</v>
      </c>
      <c r="C146" s="6" t="s">
        <v>9</v>
      </c>
      <c r="D146" s="6">
        <v>10</v>
      </c>
      <c r="E146" s="7">
        <v>45613.361111111109</v>
      </c>
      <c r="F146" s="8">
        <v>2.92</v>
      </c>
      <c r="G146" s="6">
        <v>12373</v>
      </c>
      <c r="H146" s="6" t="s">
        <v>23</v>
      </c>
    </row>
    <row r="147" spans="1:8" ht="15" thickBot="1" x14ac:dyDescent="0.35">
      <c r="A147" s="13">
        <v>50146</v>
      </c>
      <c r="B147" s="9" t="s">
        <v>12</v>
      </c>
      <c r="C147" s="9" t="s">
        <v>13</v>
      </c>
      <c r="D147" s="9">
        <v>24</v>
      </c>
      <c r="E147" s="10">
        <v>45443.56527777778</v>
      </c>
      <c r="F147" s="11">
        <v>2.5299999999999998</v>
      </c>
      <c r="G147" s="9">
        <v>12805</v>
      </c>
      <c r="H147" s="9" t="s">
        <v>10</v>
      </c>
    </row>
    <row r="148" spans="1:8" ht="15" thickBot="1" x14ac:dyDescent="0.35">
      <c r="A148" s="12">
        <v>50147</v>
      </c>
      <c r="B148" s="6">
        <v>21212</v>
      </c>
      <c r="C148" s="6" t="s">
        <v>21</v>
      </c>
      <c r="D148" s="6">
        <v>9</v>
      </c>
      <c r="E148" s="7">
        <v>45563.689583333333</v>
      </c>
      <c r="F148" s="8">
        <v>0.52</v>
      </c>
      <c r="G148" s="6">
        <v>12844</v>
      </c>
      <c r="H148" s="6" t="s">
        <v>28</v>
      </c>
    </row>
    <row r="149" spans="1:8" ht="15" thickBot="1" x14ac:dyDescent="0.35">
      <c r="A149" s="13">
        <v>50148</v>
      </c>
      <c r="B149" s="9">
        <v>22960</v>
      </c>
      <c r="C149" s="9" t="s">
        <v>49</v>
      </c>
      <c r="D149" s="9">
        <v>15</v>
      </c>
      <c r="E149" s="10">
        <v>45465.414583333331</v>
      </c>
      <c r="F149" s="11">
        <v>3.82</v>
      </c>
      <c r="G149" s="9">
        <v>12989</v>
      </c>
      <c r="H149" s="9" t="s">
        <v>37</v>
      </c>
    </row>
    <row r="150" spans="1:8" ht="15" thickBot="1" x14ac:dyDescent="0.35">
      <c r="A150" s="12">
        <v>50149</v>
      </c>
      <c r="B150" s="6">
        <v>22386</v>
      </c>
      <c r="C150" s="6" t="s">
        <v>29</v>
      </c>
      <c r="D150" s="6">
        <v>3</v>
      </c>
      <c r="E150" s="7">
        <v>45577.593055555553</v>
      </c>
      <c r="F150" s="8">
        <v>1.67</v>
      </c>
      <c r="G150" s="6">
        <v>12549</v>
      </c>
      <c r="H150" s="6" t="s">
        <v>24</v>
      </c>
    </row>
    <row r="151" spans="1:8" ht="15" thickBot="1" x14ac:dyDescent="0.35">
      <c r="A151" s="13">
        <v>50150</v>
      </c>
      <c r="B151" s="9">
        <v>20725</v>
      </c>
      <c r="C151" s="9" t="s">
        <v>19</v>
      </c>
      <c r="D151" s="9">
        <v>19</v>
      </c>
      <c r="E151" s="10">
        <v>45480.519444444442</v>
      </c>
      <c r="F151" s="11">
        <v>1.77</v>
      </c>
      <c r="G151" s="9">
        <v>12380</v>
      </c>
      <c r="H151" s="9" t="s">
        <v>24</v>
      </c>
    </row>
    <row r="152" spans="1:8" ht="15" thickBot="1" x14ac:dyDescent="0.35">
      <c r="A152" s="12">
        <v>50151</v>
      </c>
      <c r="B152" s="6">
        <v>22423</v>
      </c>
      <c r="C152" s="6" t="s">
        <v>36</v>
      </c>
      <c r="D152" s="6">
        <v>20</v>
      </c>
      <c r="E152" s="7">
        <v>45533.350694444445</v>
      </c>
      <c r="F152" s="8">
        <v>13.34</v>
      </c>
      <c r="G152" s="6">
        <v>12937</v>
      </c>
      <c r="H152" s="6" t="s">
        <v>20</v>
      </c>
    </row>
    <row r="153" spans="1:8" ht="15" thickBot="1" x14ac:dyDescent="0.35">
      <c r="A153" s="13">
        <v>50152</v>
      </c>
      <c r="B153" s="9">
        <v>22423</v>
      </c>
      <c r="C153" s="9" t="s">
        <v>36</v>
      </c>
      <c r="D153" s="9">
        <v>21</v>
      </c>
      <c r="E153" s="10">
        <v>45623.37777777778</v>
      </c>
      <c r="F153" s="11">
        <v>14.9</v>
      </c>
      <c r="G153" s="9">
        <v>12309</v>
      </c>
      <c r="H153" s="9" t="s">
        <v>26</v>
      </c>
    </row>
    <row r="154" spans="1:8" ht="15" thickBot="1" x14ac:dyDescent="0.35">
      <c r="A154" s="12">
        <v>50153</v>
      </c>
      <c r="B154" s="6" t="s">
        <v>8</v>
      </c>
      <c r="C154" s="6" t="s">
        <v>9</v>
      </c>
      <c r="D154" s="6">
        <v>2</v>
      </c>
      <c r="E154" s="7">
        <v>45363.365277777775</v>
      </c>
      <c r="F154" s="8">
        <v>3.47</v>
      </c>
      <c r="G154" s="6">
        <v>12099</v>
      </c>
      <c r="H154" s="6" t="s">
        <v>37</v>
      </c>
    </row>
    <row r="155" spans="1:8" ht="15" thickBot="1" x14ac:dyDescent="0.35">
      <c r="A155" s="13">
        <v>50154</v>
      </c>
      <c r="B155" s="9" t="s">
        <v>15</v>
      </c>
      <c r="C155" s="9" t="s">
        <v>16</v>
      </c>
      <c r="D155" s="9">
        <v>15</v>
      </c>
      <c r="E155" s="10">
        <v>45361.609027777777</v>
      </c>
      <c r="F155" s="11">
        <v>3.49</v>
      </c>
      <c r="G155" s="9">
        <v>12713</v>
      </c>
      <c r="H155" s="9" t="s">
        <v>10</v>
      </c>
    </row>
    <row r="156" spans="1:8" ht="15" thickBot="1" x14ac:dyDescent="0.35">
      <c r="A156" s="12">
        <v>50155</v>
      </c>
      <c r="B156" s="6" t="s">
        <v>39</v>
      </c>
      <c r="C156" s="6" t="s">
        <v>40</v>
      </c>
      <c r="D156" s="6">
        <v>14</v>
      </c>
      <c r="E156" s="7">
        <v>45592.443055555559</v>
      </c>
      <c r="F156" s="8">
        <v>2.37</v>
      </c>
      <c r="G156" s="6">
        <v>12630</v>
      </c>
      <c r="H156" s="6" t="s">
        <v>26</v>
      </c>
    </row>
    <row r="157" spans="1:8" ht="15" thickBot="1" x14ac:dyDescent="0.35">
      <c r="A157" s="13">
        <v>50156</v>
      </c>
      <c r="B157" s="9">
        <v>47566</v>
      </c>
      <c r="C157" s="9" t="s">
        <v>27</v>
      </c>
      <c r="D157" s="9">
        <v>7</v>
      </c>
      <c r="E157" s="10">
        <v>45308.59652777778</v>
      </c>
      <c r="F157" s="11">
        <v>5.85</v>
      </c>
      <c r="G157" s="9">
        <v>12875</v>
      </c>
      <c r="H157" s="9" t="s">
        <v>18</v>
      </c>
    </row>
    <row r="158" spans="1:8" ht="15" thickBot="1" x14ac:dyDescent="0.35">
      <c r="A158" s="12">
        <v>50157</v>
      </c>
      <c r="B158" s="6" t="s">
        <v>8</v>
      </c>
      <c r="C158" s="6" t="s">
        <v>9</v>
      </c>
      <c r="D158" s="6">
        <v>18</v>
      </c>
      <c r="E158" s="7">
        <v>45643.594444444447</v>
      </c>
      <c r="F158" s="8">
        <v>3.65</v>
      </c>
      <c r="G158" s="6">
        <v>12062</v>
      </c>
      <c r="H158" s="6" t="s">
        <v>26</v>
      </c>
    </row>
    <row r="159" spans="1:8" ht="15" thickBot="1" x14ac:dyDescent="0.35">
      <c r="A159" s="13">
        <v>50158</v>
      </c>
      <c r="B159" s="9">
        <v>47566</v>
      </c>
      <c r="C159" s="9" t="s">
        <v>27</v>
      </c>
      <c r="D159" s="9">
        <v>15</v>
      </c>
      <c r="E159" s="10">
        <v>45389.420138888891</v>
      </c>
      <c r="F159" s="11">
        <v>4.57</v>
      </c>
      <c r="G159" s="9">
        <v>12654</v>
      </c>
      <c r="H159" s="9" t="s">
        <v>20</v>
      </c>
    </row>
    <row r="160" spans="1:8" ht="15" thickBot="1" x14ac:dyDescent="0.35">
      <c r="A160" s="12">
        <v>50159</v>
      </c>
      <c r="B160" s="6" t="s">
        <v>31</v>
      </c>
      <c r="C160" s="6" t="s">
        <v>32</v>
      </c>
      <c r="D160" s="6">
        <v>8</v>
      </c>
      <c r="E160" s="7">
        <v>45317.570138888892</v>
      </c>
      <c r="F160" s="8">
        <v>2.87</v>
      </c>
      <c r="G160" s="6">
        <v>12210</v>
      </c>
      <c r="H160" s="6" t="s">
        <v>24</v>
      </c>
    </row>
    <row r="161" spans="1:8" ht="15" thickBot="1" x14ac:dyDescent="0.35">
      <c r="A161" s="13">
        <v>50160</v>
      </c>
      <c r="B161" s="9" t="s">
        <v>15</v>
      </c>
      <c r="C161" s="9" t="s">
        <v>16</v>
      </c>
      <c r="D161" s="9">
        <v>7</v>
      </c>
      <c r="E161" s="10">
        <v>45398.75</v>
      </c>
      <c r="F161" s="11">
        <v>2.75</v>
      </c>
      <c r="G161" s="9">
        <v>12792</v>
      </c>
      <c r="H161" s="9" t="s">
        <v>23</v>
      </c>
    </row>
    <row r="162" spans="1:8" ht="15" thickBot="1" x14ac:dyDescent="0.35">
      <c r="A162" s="12">
        <v>50161</v>
      </c>
      <c r="B162" s="6">
        <v>84991</v>
      </c>
      <c r="C162" s="6" t="s">
        <v>25</v>
      </c>
      <c r="D162" s="6">
        <v>5</v>
      </c>
      <c r="E162" s="7">
        <v>45293.529861111114</v>
      </c>
      <c r="F162" s="8">
        <v>0.56999999999999995</v>
      </c>
      <c r="G162" s="6">
        <v>12817</v>
      </c>
      <c r="H162" s="6" t="s">
        <v>23</v>
      </c>
    </row>
    <row r="163" spans="1:8" ht="15" thickBot="1" x14ac:dyDescent="0.35">
      <c r="A163" s="13" t="s">
        <v>58</v>
      </c>
      <c r="B163" s="9" t="s">
        <v>8</v>
      </c>
      <c r="C163" s="9" t="s">
        <v>9</v>
      </c>
      <c r="D163" s="9">
        <v>-2</v>
      </c>
      <c r="E163" s="10">
        <v>45630.351388888892</v>
      </c>
      <c r="F163" s="11">
        <v>3.58</v>
      </c>
      <c r="G163" s="9">
        <v>12016</v>
      </c>
      <c r="H163" s="9" t="s">
        <v>23</v>
      </c>
    </row>
    <row r="164" spans="1:8" ht="15" thickBot="1" x14ac:dyDescent="0.35">
      <c r="A164" s="12">
        <v>50163</v>
      </c>
      <c r="B164" s="6">
        <v>47566</v>
      </c>
      <c r="C164" s="6" t="s">
        <v>27</v>
      </c>
      <c r="D164" s="6">
        <v>24</v>
      </c>
      <c r="E164" s="7">
        <v>45318.42291666667</v>
      </c>
      <c r="F164" s="8">
        <v>4.4000000000000004</v>
      </c>
      <c r="G164" s="6">
        <v>12065</v>
      </c>
      <c r="H164" s="6" t="s">
        <v>28</v>
      </c>
    </row>
    <row r="165" spans="1:8" ht="15" thickBot="1" x14ac:dyDescent="0.35">
      <c r="A165" s="13">
        <v>50164</v>
      </c>
      <c r="B165" s="9">
        <v>20725</v>
      </c>
      <c r="C165" s="9" t="s">
        <v>19</v>
      </c>
      <c r="D165" s="9">
        <v>19</v>
      </c>
      <c r="E165" s="10">
        <v>45477.697916666664</v>
      </c>
      <c r="F165" s="11">
        <v>1.69</v>
      </c>
      <c r="G165" s="9">
        <v>12968</v>
      </c>
      <c r="H165" s="9" t="s">
        <v>20</v>
      </c>
    </row>
    <row r="166" spans="1:8" ht="15" thickBot="1" x14ac:dyDescent="0.35">
      <c r="A166" s="12">
        <v>50165</v>
      </c>
      <c r="B166" s="6">
        <v>71053</v>
      </c>
      <c r="C166" s="6" t="s">
        <v>38</v>
      </c>
      <c r="D166" s="6">
        <v>10</v>
      </c>
      <c r="E166" s="7">
        <v>45629.703472222223</v>
      </c>
      <c r="F166" s="8">
        <v>4.03</v>
      </c>
      <c r="G166" s="6">
        <v>12062</v>
      </c>
      <c r="H166" s="6" t="s">
        <v>28</v>
      </c>
    </row>
    <row r="167" spans="1:8" ht="15" thickBot="1" x14ac:dyDescent="0.35">
      <c r="A167" s="13">
        <v>50166</v>
      </c>
      <c r="B167" s="9">
        <v>22386</v>
      </c>
      <c r="C167" s="9" t="s">
        <v>29</v>
      </c>
      <c r="D167" s="9">
        <v>16</v>
      </c>
      <c r="E167" s="10">
        <v>45510.409722222219</v>
      </c>
      <c r="F167" s="11">
        <v>1.96</v>
      </c>
      <c r="G167" s="9">
        <v>12920</v>
      </c>
      <c r="H167" s="9" t="s">
        <v>24</v>
      </c>
    </row>
    <row r="168" spans="1:8" ht="15" thickBot="1" x14ac:dyDescent="0.35">
      <c r="A168" s="12">
        <v>50167</v>
      </c>
      <c r="B168" s="6">
        <v>22086</v>
      </c>
      <c r="C168" s="6" t="s">
        <v>41</v>
      </c>
      <c r="D168" s="6">
        <v>3</v>
      </c>
      <c r="E168" s="7">
        <v>45603.438194444447</v>
      </c>
      <c r="F168" s="8">
        <v>3.15</v>
      </c>
      <c r="G168" s="6">
        <v>12599</v>
      </c>
      <c r="H168" s="6" t="s">
        <v>10</v>
      </c>
    </row>
    <row r="169" spans="1:8" ht="15" thickBot="1" x14ac:dyDescent="0.35">
      <c r="A169" s="13">
        <v>50168</v>
      </c>
      <c r="B169" s="9">
        <v>22086</v>
      </c>
      <c r="C169" s="9" t="s">
        <v>41</v>
      </c>
      <c r="D169" s="9">
        <v>10</v>
      </c>
      <c r="E169" s="10">
        <v>45487.710416666669</v>
      </c>
      <c r="F169" s="11">
        <v>3.13</v>
      </c>
      <c r="G169" s="9">
        <v>12101</v>
      </c>
      <c r="H169" s="9" t="s">
        <v>24</v>
      </c>
    </row>
    <row r="170" spans="1:8" ht="15" thickBot="1" x14ac:dyDescent="0.35">
      <c r="A170" s="12">
        <v>50169</v>
      </c>
      <c r="B170" s="6" t="s">
        <v>15</v>
      </c>
      <c r="C170" s="6" t="s">
        <v>16</v>
      </c>
      <c r="D170" s="6">
        <v>15</v>
      </c>
      <c r="E170" s="7">
        <v>45402.638888888891</v>
      </c>
      <c r="F170" s="8">
        <v>2.93</v>
      </c>
      <c r="G170" s="6">
        <v>12847</v>
      </c>
      <c r="H170" s="6" t="s">
        <v>28</v>
      </c>
    </row>
    <row r="171" spans="1:8" ht="15" thickBot="1" x14ac:dyDescent="0.35">
      <c r="A171" s="13">
        <v>50170</v>
      </c>
      <c r="B171" s="9">
        <v>22386</v>
      </c>
      <c r="C171" s="9" t="s">
        <v>29</v>
      </c>
      <c r="D171" s="9">
        <v>11</v>
      </c>
      <c r="E171" s="10">
        <v>45504.400694444441</v>
      </c>
      <c r="F171" s="11">
        <v>2.11</v>
      </c>
      <c r="G171" s="9">
        <v>12383</v>
      </c>
      <c r="H171" s="9" t="s">
        <v>23</v>
      </c>
    </row>
    <row r="172" spans="1:8" ht="15" thickBot="1" x14ac:dyDescent="0.35">
      <c r="A172" s="12">
        <v>50171</v>
      </c>
      <c r="B172" s="6">
        <v>23203</v>
      </c>
      <c r="C172" s="6" t="s">
        <v>30</v>
      </c>
      <c r="D172" s="6">
        <v>3</v>
      </c>
      <c r="E172" s="7">
        <v>45326.397916666669</v>
      </c>
      <c r="F172" s="8">
        <v>1.84</v>
      </c>
      <c r="G172" s="6">
        <v>12756</v>
      </c>
      <c r="H172" s="6" t="s">
        <v>18</v>
      </c>
    </row>
    <row r="173" spans="1:8" ht="15" thickBot="1" x14ac:dyDescent="0.35">
      <c r="A173" s="13">
        <v>50172</v>
      </c>
      <c r="B173" s="9">
        <v>84879</v>
      </c>
      <c r="C173" s="9" t="s">
        <v>45</v>
      </c>
      <c r="D173" s="9">
        <v>19</v>
      </c>
      <c r="E173" s="10">
        <v>45576.375694444447</v>
      </c>
      <c r="F173" s="11">
        <v>1.77</v>
      </c>
      <c r="G173" s="9">
        <v>12686</v>
      </c>
      <c r="H173" s="9" t="s">
        <v>24</v>
      </c>
    </row>
    <row r="174" spans="1:8" ht="15" thickBot="1" x14ac:dyDescent="0.35">
      <c r="A174" s="12" t="s">
        <v>59</v>
      </c>
      <c r="B174" s="6" t="s">
        <v>39</v>
      </c>
      <c r="C174" s="6" t="s">
        <v>40</v>
      </c>
      <c r="D174" s="6">
        <v>-5</v>
      </c>
      <c r="E174" s="7">
        <v>45473.634027777778</v>
      </c>
      <c r="F174" s="8">
        <v>2.21</v>
      </c>
      <c r="G174" s="6">
        <v>12360</v>
      </c>
      <c r="H174" s="6" t="s">
        <v>24</v>
      </c>
    </row>
    <row r="175" spans="1:8" ht="15" thickBot="1" x14ac:dyDescent="0.35">
      <c r="A175" s="13">
        <v>50174</v>
      </c>
      <c r="B175" s="9" t="s">
        <v>43</v>
      </c>
      <c r="C175" s="9" t="s">
        <v>44</v>
      </c>
      <c r="D175" s="9">
        <v>5</v>
      </c>
      <c r="E175" s="10">
        <v>45551.484027777777</v>
      </c>
      <c r="F175" s="11">
        <v>1.1599999999999999</v>
      </c>
      <c r="G175" s="9">
        <v>12110</v>
      </c>
      <c r="H175" s="9" t="s">
        <v>18</v>
      </c>
    </row>
    <row r="176" spans="1:8" ht="15" thickBot="1" x14ac:dyDescent="0.35">
      <c r="A176" s="12">
        <v>50175</v>
      </c>
      <c r="B176" s="6" t="s">
        <v>15</v>
      </c>
      <c r="C176" s="6" t="s">
        <v>16</v>
      </c>
      <c r="D176" s="6">
        <v>9</v>
      </c>
      <c r="E176" s="7">
        <v>45480.414583333331</v>
      </c>
      <c r="F176" s="8">
        <v>3.34</v>
      </c>
      <c r="G176" s="6">
        <v>12865</v>
      </c>
      <c r="H176" s="6" t="s">
        <v>10</v>
      </c>
    </row>
    <row r="177" spans="1:8" ht="15" thickBot="1" x14ac:dyDescent="0.35">
      <c r="A177" s="13">
        <v>50176</v>
      </c>
      <c r="B177" s="9">
        <v>84991</v>
      </c>
      <c r="C177" s="9" t="s">
        <v>25</v>
      </c>
      <c r="D177" s="9">
        <v>1</v>
      </c>
      <c r="E177" s="10">
        <v>45606.729166666664</v>
      </c>
      <c r="F177" s="11">
        <v>0.59</v>
      </c>
      <c r="G177" s="9">
        <v>12710</v>
      </c>
      <c r="H177" s="9" t="s">
        <v>22</v>
      </c>
    </row>
    <row r="178" spans="1:8" ht="15" thickBot="1" x14ac:dyDescent="0.35">
      <c r="A178" s="12">
        <v>50177</v>
      </c>
      <c r="B178" s="6" t="s">
        <v>31</v>
      </c>
      <c r="C178" s="6" t="s">
        <v>32</v>
      </c>
      <c r="D178" s="6">
        <v>23</v>
      </c>
      <c r="E178" s="7">
        <v>45384.527083333334</v>
      </c>
      <c r="F178" s="8">
        <v>2.99</v>
      </c>
      <c r="G178" s="6">
        <v>12359</v>
      </c>
      <c r="H178" s="6" t="s">
        <v>14</v>
      </c>
    </row>
    <row r="179" spans="1:8" ht="15" thickBot="1" x14ac:dyDescent="0.35">
      <c r="A179" s="13">
        <v>50178</v>
      </c>
      <c r="B179" s="9">
        <v>22720</v>
      </c>
      <c r="C179" s="9" t="s">
        <v>17</v>
      </c>
      <c r="D179" s="9">
        <v>22</v>
      </c>
      <c r="E179" s="10">
        <v>45365.73541666667</v>
      </c>
      <c r="F179" s="11">
        <v>4.45</v>
      </c>
      <c r="G179" s="9">
        <v>12648</v>
      </c>
      <c r="H179" s="9" t="s">
        <v>14</v>
      </c>
    </row>
    <row r="180" spans="1:8" ht="15" thickBot="1" x14ac:dyDescent="0.35">
      <c r="A180" s="12">
        <v>50179</v>
      </c>
      <c r="B180" s="6" t="s">
        <v>12</v>
      </c>
      <c r="C180" s="6" t="s">
        <v>13</v>
      </c>
      <c r="D180" s="6">
        <v>13</v>
      </c>
      <c r="E180" s="7">
        <v>45563.486111111109</v>
      </c>
      <c r="F180" s="8">
        <v>2.67</v>
      </c>
      <c r="G180" s="6">
        <v>12378</v>
      </c>
      <c r="H180" s="6" t="s">
        <v>22</v>
      </c>
    </row>
    <row r="181" spans="1:8" ht="15" thickBot="1" x14ac:dyDescent="0.35">
      <c r="A181" s="13">
        <v>50180</v>
      </c>
      <c r="B181" s="9">
        <v>22086</v>
      </c>
      <c r="C181" s="9" t="s">
        <v>41</v>
      </c>
      <c r="D181" s="9">
        <v>2</v>
      </c>
      <c r="E181" s="10">
        <v>45582.393055555556</v>
      </c>
      <c r="F181" s="11">
        <v>3.29</v>
      </c>
      <c r="G181" s="9">
        <v>12050</v>
      </c>
      <c r="H181" s="9" t="s">
        <v>24</v>
      </c>
    </row>
    <row r="182" spans="1:8" ht="15" thickBot="1" x14ac:dyDescent="0.35">
      <c r="A182" s="12">
        <v>50181</v>
      </c>
      <c r="B182" s="6">
        <v>47566</v>
      </c>
      <c r="C182" s="6" t="s">
        <v>27</v>
      </c>
      <c r="D182" s="6">
        <v>16</v>
      </c>
      <c r="E182" s="7">
        <v>45518.634722222225</v>
      </c>
      <c r="F182" s="8">
        <v>4.93</v>
      </c>
      <c r="G182" s="6">
        <v>12220</v>
      </c>
      <c r="H182" s="6" t="s">
        <v>10</v>
      </c>
    </row>
    <row r="183" spans="1:8" ht="15" thickBot="1" x14ac:dyDescent="0.35">
      <c r="A183" s="13">
        <v>50182</v>
      </c>
      <c r="B183" s="9" t="s">
        <v>8</v>
      </c>
      <c r="C183" s="9" t="s">
        <v>9</v>
      </c>
      <c r="D183" s="9">
        <v>4</v>
      </c>
      <c r="E183" s="10">
        <v>45468.638888888891</v>
      </c>
      <c r="F183" s="11">
        <v>3.69</v>
      </c>
      <c r="G183" s="9">
        <v>12498</v>
      </c>
      <c r="H183" s="9" t="s">
        <v>10</v>
      </c>
    </row>
    <row r="184" spans="1:8" ht="15" thickBot="1" x14ac:dyDescent="0.35">
      <c r="A184" s="12">
        <v>50183</v>
      </c>
      <c r="B184" s="6">
        <v>22960</v>
      </c>
      <c r="C184" s="6" t="s">
        <v>49</v>
      </c>
      <c r="D184" s="6">
        <v>13</v>
      </c>
      <c r="E184" s="7">
        <v>45315.489583333336</v>
      </c>
      <c r="F184" s="8">
        <v>3.69</v>
      </c>
      <c r="G184" s="6">
        <v>12209</v>
      </c>
      <c r="H184" s="6" t="s">
        <v>22</v>
      </c>
    </row>
    <row r="185" spans="1:8" ht="15" thickBot="1" x14ac:dyDescent="0.35">
      <c r="A185" s="13">
        <v>50184</v>
      </c>
      <c r="B185" s="9">
        <v>22727</v>
      </c>
      <c r="C185" s="9" t="s">
        <v>46</v>
      </c>
      <c r="D185" s="9">
        <v>10</v>
      </c>
      <c r="E185" s="10">
        <v>45362.51458333333</v>
      </c>
      <c r="F185" s="11">
        <v>3.2</v>
      </c>
      <c r="G185" s="9">
        <v>12764</v>
      </c>
      <c r="H185" s="9" t="s">
        <v>26</v>
      </c>
    </row>
    <row r="186" spans="1:8" ht="15" thickBot="1" x14ac:dyDescent="0.35">
      <c r="A186" s="12">
        <v>50185</v>
      </c>
      <c r="B186" s="6">
        <v>22720</v>
      </c>
      <c r="C186" s="6" t="s">
        <v>17</v>
      </c>
      <c r="D186" s="6">
        <v>18</v>
      </c>
      <c r="E186" s="7">
        <v>45358.603472222225</v>
      </c>
      <c r="F186" s="8">
        <v>5.07</v>
      </c>
      <c r="G186" s="6">
        <v>12853</v>
      </c>
      <c r="H186" s="6" t="s">
        <v>18</v>
      </c>
    </row>
    <row r="187" spans="1:8" ht="15" thickBot="1" x14ac:dyDescent="0.35">
      <c r="A187" s="13" t="s">
        <v>60</v>
      </c>
      <c r="B187" s="9" t="s">
        <v>12</v>
      </c>
      <c r="C187" s="9" t="s">
        <v>13</v>
      </c>
      <c r="D187" s="9">
        <v>-2</v>
      </c>
      <c r="E187" s="10">
        <v>45495.363194444442</v>
      </c>
      <c r="F187" s="11">
        <v>3.17</v>
      </c>
      <c r="G187" s="9">
        <v>12589</v>
      </c>
      <c r="H187" s="9" t="s">
        <v>26</v>
      </c>
    </row>
    <row r="188" spans="1:8" ht="15" thickBot="1" x14ac:dyDescent="0.35">
      <c r="A188" s="12">
        <v>50187</v>
      </c>
      <c r="B188" s="6" t="s">
        <v>43</v>
      </c>
      <c r="C188" s="6" t="s">
        <v>44</v>
      </c>
      <c r="D188" s="6">
        <v>10</v>
      </c>
      <c r="E188" s="7">
        <v>45499.629861111112</v>
      </c>
      <c r="F188" s="8">
        <v>1.07</v>
      </c>
      <c r="G188" s="6">
        <v>12332</v>
      </c>
      <c r="H188" s="6" t="s">
        <v>23</v>
      </c>
    </row>
    <row r="189" spans="1:8" ht="15" thickBot="1" x14ac:dyDescent="0.35">
      <c r="A189" s="13">
        <v>50188</v>
      </c>
      <c r="B189" s="9">
        <v>84991</v>
      </c>
      <c r="C189" s="9" t="s">
        <v>25</v>
      </c>
      <c r="D189" s="9">
        <v>3</v>
      </c>
      <c r="E189" s="10">
        <v>45527.590277777781</v>
      </c>
      <c r="F189" s="11">
        <v>0.49</v>
      </c>
      <c r="G189" s="9">
        <v>12446</v>
      </c>
      <c r="H189" s="9" t="s">
        <v>20</v>
      </c>
    </row>
    <row r="190" spans="1:8" ht="15" thickBot="1" x14ac:dyDescent="0.35">
      <c r="A190" s="12">
        <v>50189</v>
      </c>
      <c r="B190" s="6">
        <v>22386</v>
      </c>
      <c r="C190" s="6" t="s">
        <v>29</v>
      </c>
      <c r="D190" s="6">
        <v>13</v>
      </c>
      <c r="E190" s="7">
        <v>45560.388888888891</v>
      </c>
      <c r="F190" s="8">
        <v>2.17</v>
      </c>
      <c r="G190" s="6">
        <v>12226</v>
      </c>
      <c r="H190" s="6" t="s">
        <v>18</v>
      </c>
    </row>
    <row r="191" spans="1:8" ht="15" thickBot="1" x14ac:dyDescent="0.35">
      <c r="A191" s="13">
        <v>50190</v>
      </c>
      <c r="B191" s="9">
        <v>22720</v>
      </c>
      <c r="C191" s="9" t="s">
        <v>17</v>
      </c>
      <c r="D191" s="9">
        <v>21</v>
      </c>
      <c r="E191" s="10">
        <v>45331.695833333331</v>
      </c>
      <c r="F191" s="11">
        <v>5.09</v>
      </c>
      <c r="G191" s="9">
        <v>12927</v>
      </c>
      <c r="H191" s="9" t="s">
        <v>18</v>
      </c>
    </row>
    <row r="192" spans="1:8" ht="15" thickBot="1" x14ac:dyDescent="0.35">
      <c r="A192" s="12">
        <v>50191</v>
      </c>
      <c r="B192" s="6">
        <v>21212</v>
      </c>
      <c r="C192" s="6" t="s">
        <v>21</v>
      </c>
      <c r="D192" s="6">
        <v>8</v>
      </c>
      <c r="E192" s="7">
        <v>45622.438194444447</v>
      </c>
      <c r="F192" s="8">
        <v>0.52</v>
      </c>
      <c r="G192" s="6">
        <v>12177</v>
      </c>
      <c r="H192" s="6" t="s">
        <v>20</v>
      </c>
    </row>
    <row r="193" spans="1:8" ht="15" thickBot="1" x14ac:dyDescent="0.35">
      <c r="A193" s="13">
        <v>50192</v>
      </c>
      <c r="B193" s="9">
        <v>84879</v>
      </c>
      <c r="C193" s="9" t="s">
        <v>45</v>
      </c>
      <c r="D193" s="9">
        <v>6</v>
      </c>
      <c r="E193" s="10">
        <v>45627.386805555558</v>
      </c>
      <c r="F193" s="11">
        <v>1.81</v>
      </c>
      <c r="G193" s="9">
        <v>12475</v>
      </c>
      <c r="H193" s="9" t="s">
        <v>20</v>
      </c>
    </row>
    <row r="194" spans="1:8" ht="15" thickBot="1" x14ac:dyDescent="0.35">
      <c r="A194" s="12">
        <v>50193</v>
      </c>
      <c r="B194" s="6" t="s">
        <v>43</v>
      </c>
      <c r="C194" s="6" t="s">
        <v>44</v>
      </c>
      <c r="D194" s="6">
        <v>21</v>
      </c>
      <c r="E194" s="7">
        <v>45521.734722222223</v>
      </c>
      <c r="F194" s="8">
        <v>1.34</v>
      </c>
      <c r="G194" s="6">
        <v>12884</v>
      </c>
      <c r="H194" s="6" t="s">
        <v>18</v>
      </c>
    </row>
    <row r="195" spans="1:8" ht="15" thickBot="1" x14ac:dyDescent="0.35">
      <c r="A195" s="13">
        <v>50194</v>
      </c>
      <c r="B195" s="9">
        <v>84879</v>
      </c>
      <c r="C195" s="9" t="s">
        <v>45</v>
      </c>
      <c r="D195" s="9">
        <v>16</v>
      </c>
      <c r="E195" s="10">
        <v>45517.381249999999</v>
      </c>
      <c r="F195" s="11">
        <v>1.62</v>
      </c>
      <c r="G195" s="9">
        <v>12281</v>
      </c>
      <c r="H195" s="9" t="s">
        <v>20</v>
      </c>
    </row>
    <row r="196" spans="1:8" ht="15" thickBot="1" x14ac:dyDescent="0.35">
      <c r="A196" s="12">
        <v>50195</v>
      </c>
      <c r="B196" s="6">
        <v>71053</v>
      </c>
      <c r="C196" s="6" t="s">
        <v>38</v>
      </c>
      <c r="D196" s="6">
        <v>3</v>
      </c>
      <c r="E196" s="7">
        <v>45472.693749999999</v>
      </c>
      <c r="F196" s="8">
        <v>3.42</v>
      </c>
      <c r="G196" s="6">
        <v>12058</v>
      </c>
      <c r="H196" s="6" t="s">
        <v>18</v>
      </c>
    </row>
    <row r="197" spans="1:8" ht="15" thickBot="1" x14ac:dyDescent="0.35">
      <c r="A197" s="13">
        <v>50196</v>
      </c>
      <c r="B197" s="9">
        <v>22960</v>
      </c>
      <c r="C197" s="9" t="s">
        <v>49</v>
      </c>
      <c r="D197" s="9">
        <v>20</v>
      </c>
      <c r="E197" s="10">
        <v>45331.397222222222</v>
      </c>
      <c r="F197" s="11">
        <v>4.18</v>
      </c>
      <c r="G197" s="9">
        <v>12594</v>
      </c>
      <c r="H197" s="9" t="s">
        <v>10</v>
      </c>
    </row>
    <row r="198" spans="1:8" ht="15" thickBot="1" x14ac:dyDescent="0.35">
      <c r="A198" s="12">
        <v>50197</v>
      </c>
      <c r="B198" s="6">
        <v>71053</v>
      </c>
      <c r="C198" s="6" t="s">
        <v>38</v>
      </c>
      <c r="D198" s="6">
        <v>21</v>
      </c>
      <c r="E198" s="7">
        <v>45522.739583333336</v>
      </c>
      <c r="F198" s="8">
        <v>3.6</v>
      </c>
      <c r="G198" s="6">
        <v>12513</v>
      </c>
      <c r="H198" s="6" t="s">
        <v>23</v>
      </c>
    </row>
    <row r="199" spans="1:8" ht="15" thickBot="1" x14ac:dyDescent="0.35">
      <c r="A199" s="13">
        <v>50198</v>
      </c>
      <c r="B199" s="9">
        <v>71053</v>
      </c>
      <c r="C199" s="9" t="s">
        <v>38</v>
      </c>
      <c r="D199" s="9">
        <v>11</v>
      </c>
      <c r="E199" s="10">
        <v>45522.40625</v>
      </c>
      <c r="F199" s="11">
        <v>2.98</v>
      </c>
      <c r="G199" s="9">
        <v>12661</v>
      </c>
      <c r="H199" s="9" t="s">
        <v>23</v>
      </c>
    </row>
    <row r="200" spans="1:8" ht="15" thickBot="1" x14ac:dyDescent="0.35">
      <c r="A200" s="12">
        <v>50199</v>
      </c>
      <c r="B200" s="6">
        <v>71053</v>
      </c>
      <c r="C200" s="6" t="s">
        <v>38</v>
      </c>
      <c r="D200" s="6">
        <v>15</v>
      </c>
      <c r="E200" s="7">
        <v>45418.644444444442</v>
      </c>
      <c r="F200" s="8">
        <v>3.61</v>
      </c>
      <c r="G200" s="6">
        <v>12372</v>
      </c>
      <c r="H200" s="6" t="s">
        <v>18</v>
      </c>
    </row>
    <row r="201" spans="1:8" ht="15" thickBot="1" x14ac:dyDescent="0.35">
      <c r="A201" s="13">
        <v>50200</v>
      </c>
      <c r="B201" s="9">
        <v>22960</v>
      </c>
      <c r="C201" s="9" t="s">
        <v>49</v>
      </c>
      <c r="D201" s="9">
        <v>11</v>
      </c>
      <c r="E201" s="10">
        <v>45490.623611111114</v>
      </c>
      <c r="F201" s="11">
        <v>3.69</v>
      </c>
      <c r="G201" s="9">
        <v>12646</v>
      </c>
      <c r="H201" s="9" t="s">
        <v>18</v>
      </c>
    </row>
    <row r="202" spans="1:8" ht="15" thickBot="1" x14ac:dyDescent="0.35">
      <c r="A202" s="12">
        <v>50201</v>
      </c>
      <c r="B202" s="6" t="s">
        <v>12</v>
      </c>
      <c r="C202" s="6" t="s">
        <v>13</v>
      </c>
      <c r="D202" s="6">
        <v>18</v>
      </c>
      <c r="E202" s="7">
        <v>45460.4</v>
      </c>
      <c r="F202" s="8">
        <v>2.61</v>
      </c>
      <c r="G202" s="6">
        <v>12741</v>
      </c>
      <c r="H202" s="6" t="s">
        <v>20</v>
      </c>
    </row>
    <row r="203" spans="1:8" ht="15" thickBot="1" x14ac:dyDescent="0.35">
      <c r="A203" s="13">
        <v>50202</v>
      </c>
      <c r="B203" s="9">
        <v>84879</v>
      </c>
      <c r="C203" s="9" t="s">
        <v>45</v>
      </c>
      <c r="D203" s="9">
        <v>19</v>
      </c>
      <c r="E203" s="10">
        <v>45462.390972222223</v>
      </c>
      <c r="F203" s="11">
        <v>1.98</v>
      </c>
      <c r="G203" s="9">
        <v>12317</v>
      </c>
      <c r="H203" s="9" t="s">
        <v>26</v>
      </c>
    </row>
    <row r="204" spans="1:8" ht="15" thickBot="1" x14ac:dyDescent="0.35">
      <c r="A204" s="12">
        <v>50203</v>
      </c>
      <c r="B204" s="6">
        <v>84879</v>
      </c>
      <c r="C204" s="6" t="s">
        <v>45</v>
      </c>
      <c r="D204" s="6">
        <v>10</v>
      </c>
      <c r="E204" s="7">
        <v>45596.393055555556</v>
      </c>
      <c r="F204" s="8">
        <v>1.82</v>
      </c>
      <c r="G204" s="6">
        <v>12336</v>
      </c>
      <c r="H204" s="6" t="s">
        <v>23</v>
      </c>
    </row>
    <row r="205" spans="1:8" ht="15" thickBot="1" x14ac:dyDescent="0.35">
      <c r="A205" s="13">
        <v>50204</v>
      </c>
      <c r="B205" s="9" t="s">
        <v>33</v>
      </c>
      <c r="C205" s="9" t="s">
        <v>34</v>
      </c>
      <c r="D205" s="9">
        <v>17</v>
      </c>
      <c r="E205" s="10">
        <v>45339.634027777778</v>
      </c>
      <c r="F205" s="11">
        <v>17.579999999999998</v>
      </c>
      <c r="G205" s="9">
        <v>12184</v>
      </c>
      <c r="H205" s="9" t="s">
        <v>37</v>
      </c>
    </row>
    <row r="206" spans="1:8" ht="15" thickBot="1" x14ac:dyDescent="0.35">
      <c r="A206" s="12">
        <v>50205</v>
      </c>
      <c r="B206" s="6">
        <v>22086</v>
      </c>
      <c r="C206" s="6" t="s">
        <v>41</v>
      </c>
      <c r="D206" s="6">
        <v>8</v>
      </c>
      <c r="E206" s="7">
        <v>45540.469444444447</v>
      </c>
      <c r="F206" s="8">
        <v>2.67</v>
      </c>
      <c r="G206" s="6">
        <v>12302</v>
      </c>
      <c r="H206" s="6" t="s">
        <v>24</v>
      </c>
    </row>
    <row r="207" spans="1:8" ht="15" thickBot="1" x14ac:dyDescent="0.35">
      <c r="A207" s="13">
        <v>50206</v>
      </c>
      <c r="B207" s="9" t="s">
        <v>33</v>
      </c>
      <c r="C207" s="9" t="s">
        <v>34</v>
      </c>
      <c r="D207" s="9">
        <v>2</v>
      </c>
      <c r="E207" s="10">
        <v>45568.707638888889</v>
      </c>
      <c r="F207" s="11">
        <v>20.82</v>
      </c>
      <c r="G207" s="9">
        <v>12632</v>
      </c>
      <c r="H207" s="9" t="s">
        <v>23</v>
      </c>
    </row>
    <row r="208" spans="1:8" ht="15" thickBot="1" x14ac:dyDescent="0.35">
      <c r="A208" s="12">
        <v>50207</v>
      </c>
      <c r="B208" s="6">
        <v>84991</v>
      </c>
      <c r="C208" s="6" t="s">
        <v>25</v>
      </c>
      <c r="D208" s="6">
        <v>6</v>
      </c>
      <c r="E208" s="7">
        <v>45484.442361111112</v>
      </c>
      <c r="F208" s="8">
        <v>0.6</v>
      </c>
      <c r="G208" s="6">
        <v>12639</v>
      </c>
      <c r="H208" s="6" t="s">
        <v>23</v>
      </c>
    </row>
    <row r="209" spans="1:8" ht="15" thickBot="1" x14ac:dyDescent="0.35">
      <c r="A209" s="13">
        <v>50208</v>
      </c>
      <c r="B209" s="9">
        <v>20725</v>
      </c>
      <c r="C209" s="9" t="s">
        <v>19</v>
      </c>
      <c r="D209" s="9">
        <v>12</v>
      </c>
      <c r="E209" s="10">
        <v>45314.625</v>
      </c>
      <c r="F209" s="11">
        <v>1.54</v>
      </c>
      <c r="G209" s="9">
        <v>12454</v>
      </c>
      <c r="H209" s="9" t="s">
        <v>20</v>
      </c>
    </row>
    <row r="210" spans="1:8" ht="15" thickBot="1" x14ac:dyDescent="0.35">
      <c r="A210" s="12">
        <v>50209</v>
      </c>
      <c r="B210" s="6">
        <v>22960</v>
      </c>
      <c r="C210" s="6" t="s">
        <v>49</v>
      </c>
      <c r="D210" s="6">
        <v>18</v>
      </c>
      <c r="E210" s="7">
        <v>45521.499305555553</v>
      </c>
      <c r="F210" s="8">
        <v>5.05</v>
      </c>
      <c r="G210" s="6">
        <v>12803</v>
      </c>
      <c r="H210" s="6" t="s">
        <v>28</v>
      </c>
    </row>
    <row r="211" spans="1:8" ht="15" thickBot="1" x14ac:dyDescent="0.35">
      <c r="A211" s="13">
        <v>50210</v>
      </c>
      <c r="B211" s="9">
        <v>22727</v>
      </c>
      <c r="C211" s="9" t="s">
        <v>46</v>
      </c>
      <c r="D211" s="9">
        <v>15</v>
      </c>
      <c r="E211" s="10">
        <v>45480.738888888889</v>
      </c>
      <c r="F211" s="11">
        <v>3.56</v>
      </c>
      <c r="G211" s="9">
        <v>12391</v>
      </c>
      <c r="H211" s="9" t="s">
        <v>10</v>
      </c>
    </row>
    <row r="212" spans="1:8" ht="15" thickBot="1" x14ac:dyDescent="0.35">
      <c r="A212" s="12">
        <v>50211</v>
      </c>
      <c r="B212" s="6" t="s">
        <v>33</v>
      </c>
      <c r="C212" s="6" t="s">
        <v>34</v>
      </c>
      <c r="D212" s="6">
        <v>7</v>
      </c>
      <c r="E212" s="7">
        <v>45506.447916666664</v>
      </c>
      <c r="F212" s="8">
        <v>16.170000000000002</v>
      </c>
      <c r="G212" s="6">
        <v>12256</v>
      </c>
      <c r="H212" s="6" t="s">
        <v>14</v>
      </c>
    </row>
    <row r="213" spans="1:8" ht="15" thickBot="1" x14ac:dyDescent="0.35">
      <c r="A213" s="13">
        <v>50212</v>
      </c>
      <c r="B213" s="9">
        <v>23203</v>
      </c>
      <c r="C213" s="9" t="s">
        <v>30</v>
      </c>
      <c r="D213" s="9">
        <v>4</v>
      </c>
      <c r="E213" s="10">
        <v>45482.727083333331</v>
      </c>
      <c r="F213" s="11">
        <v>2.14</v>
      </c>
      <c r="G213" s="9">
        <v>12127</v>
      </c>
      <c r="H213" s="9" t="s">
        <v>22</v>
      </c>
    </row>
    <row r="214" spans="1:8" ht="15" thickBot="1" x14ac:dyDescent="0.35">
      <c r="A214" s="12">
        <v>50213</v>
      </c>
      <c r="B214" s="6" t="s">
        <v>12</v>
      </c>
      <c r="C214" s="6" t="s">
        <v>13</v>
      </c>
      <c r="D214" s="6">
        <v>15</v>
      </c>
      <c r="E214" s="7">
        <v>45374.527083333334</v>
      </c>
      <c r="F214" s="8">
        <v>2.48</v>
      </c>
      <c r="G214" s="6">
        <v>12447</v>
      </c>
      <c r="H214" s="6" t="s">
        <v>24</v>
      </c>
    </row>
    <row r="215" spans="1:8" ht="15" thickBot="1" x14ac:dyDescent="0.35">
      <c r="A215" s="13">
        <v>50214</v>
      </c>
      <c r="B215" s="9">
        <v>22423</v>
      </c>
      <c r="C215" s="9" t="s">
        <v>36</v>
      </c>
      <c r="D215" s="9">
        <v>1</v>
      </c>
      <c r="E215" s="10">
        <v>45522.581250000003</v>
      </c>
      <c r="F215" s="11">
        <v>12.61</v>
      </c>
      <c r="G215" s="9">
        <v>12382</v>
      </c>
      <c r="H215" s="9" t="s">
        <v>37</v>
      </c>
    </row>
    <row r="216" spans="1:8" ht="15" thickBot="1" x14ac:dyDescent="0.35">
      <c r="A216" s="12" t="s">
        <v>61</v>
      </c>
      <c r="B216" s="6">
        <v>22386</v>
      </c>
      <c r="C216" s="6" t="s">
        <v>29</v>
      </c>
      <c r="D216" s="6">
        <v>-2</v>
      </c>
      <c r="E216" s="7">
        <v>45333.599305555559</v>
      </c>
      <c r="F216" s="8">
        <v>2.23</v>
      </c>
      <c r="G216" s="6">
        <v>12665</v>
      </c>
      <c r="H216" s="6" t="s">
        <v>18</v>
      </c>
    </row>
    <row r="217" spans="1:8" ht="15" thickBot="1" x14ac:dyDescent="0.35">
      <c r="A217" s="13">
        <v>50216</v>
      </c>
      <c r="B217" s="9">
        <v>84879</v>
      </c>
      <c r="C217" s="9" t="s">
        <v>45</v>
      </c>
      <c r="D217" s="9">
        <v>10</v>
      </c>
      <c r="E217" s="10">
        <v>45362.36041666667</v>
      </c>
      <c r="F217" s="11">
        <v>1.72</v>
      </c>
      <c r="G217" s="9">
        <v>12851</v>
      </c>
      <c r="H217" s="9" t="s">
        <v>23</v>
      </c>
    </row>
    <row r="218" spans="1:8" ht="15" thickBot="1" x14ac:dyDescent="0.35">
      <c r="A218" s="12" t="s">
        <v>62</v>
      </c>
      <c r="B218" s="6">
        <v>23203</v>
      </c>
      <c r="C218" s="6" t="s">
        <v>30</v>
      </c>
      <c r="D218" s="6">
        <v>-1</v>
      </c>
      <c r="E218" s="7">
        <v>45521.336805555555</v>
      </c>
      <c r="F218" s="8">
        <v>2.38</v>
      </c>
      <c r="G218" s="6">
        <v>12561</v>
      </c>
      <c r="H218" s="6" t="s">
        <v>20</v>
      </c>
    </row>
    <row r="219" spans="1:8" ht="15" thickBot="1" x14ac:dyDescent="0.35">
      <c r="A219" s="13">
        <v>50218</v>
      </c>
      <c r="B219" s="9" t="s">
        <v>33</v>
      </c>
      <c r="C219" s="9" t="s">
        <v>34</v>
      </c>
      <c r="D219" s="9">
        <v>10</v>
      </c>
      <c r="E219" s="10">
        <v>45508.411805555559</v>
      </c>
      <c r="F219" s="11">
        <v>16.07</v>
      </c>
      <c r="G219" s="9">
        <v>12244</v>
      </c>
      <c r="H219" s="9" t="s">
        <v>26</v>
      </c>
    </row>
    <row r="220" spans="1:8" ht="15" thickBot="1" x14ac:dyDescent="0.35">
      <c r="A220" s="12">
        <v>50219</v>
      </c>
      <c r="B220" s="6">
        <v>84991</v>
      </c>
      <c r="C220" s="6" t="s">
        <v>25</v>
      </c>
      <c r="D220" s="6">
        <v>4</v>
      </c>
      <c r="E220" s="7">
        <v>45526.37777777778</v>
      </c>
      <c r="F220" s="8">
        <v>0.56000000000000005</v>
      </c>
      <c r="G220" s="6">
        <v>12548</v>
      </c>
      <c r="H220" s="6" t="s">
        <v>14</v>
      </c>
    </row>
    <row r="221" spans="1:8" ht="15" thickBot="1" x14ac:dyDescent="0.35">
      <c r="A221" s="13">
        <v>50220</v>
      </c>
      <c r="B221" s="9" t="s">
        <v>33</v>
      </c>
      <c r="C221" s="9" t="s">
        <v>34</v>
      </c>
      <c r="D221" s="9">
        <v>23</v>
      </c>
      <c r="E221" s="10">
        <v>45586.504861111112</v>
      </c>
      <c r="F221" s="11">
        <v>18</v>
      </c>
      <c r="G221" s="9">
        <v>12629</v>
      </c>
      <c r="H221" s="9" t="s">
        <v>18</v>
      </c>
    </row>
    <row r="222" spans="1:8" ht="15" thickBot="1" x14ac:dyDescent="0.35">
      <c r="A222" s="12">
        <v>50221</v>
      </c>
      <c r="B222" s="6">
        <v>22423</v>
      </c>
      <c r="C222" s="6" t="s">
        <v>36</v>
      </c>
      <c r="D222" s="6">
        <v>6</v>
      </c>
      <c r="E222" s="7">
        <v>45584.629166666666</v>
      </c>
      <c r="F222" s="8">
        <v>11.22</v>
      </c>
      <c r="G222" s="6">
        <v>12998</v>
      </c>
      <c r="H222" s="6" t="s">
        <v>18</v>
      </c>
    </row>
    <row r="223" spans="1:8" ht="15" thickBot="1" x14ac:dyDescent="0.35">
      <c r="A223" s="13">
        <v>50222</v>
      </c>
      <c r="B223" s="9" t="s">
        <v>12</v>
      </c>
      <c r="C223" s="9" t="s">
        <v>13</v>
      </c>
      <c r="D223" s="9">
        <v>17</v>
      </c>
      <c r="E223" s="10">
        <v>45561.720138888886</v>
      </c>
      <c r="F223" s="11">
        <v>2.83</v>
      </c>
      <c r="G223" s="9">
        <v>12020</v>
      </c>
      <c r="H223" s="9" t="s">
        <v>26</v>
      </c>
    </row>
    <row r="224" spans="1:8" ht="15" thickBot="1" x14ac:dyDescent="0.35">
      <c r="A224" s="12">
        <v>50223</v>
      </c>
      <c r="B224" s="6">
        <v>23203</v>
      </c>
      <c r="C224" s="6" t="s">
        <v>30</v>
      </c>
      <c r="D224" s="6">
        <v>12</v>
      </c>
      <c r="E224" s="7">
        <v>45314.60833333333</v>
      </c>
      <c r="F224" s="8">
        <v>1.78</v>
      </c>
      <c r="G224" s="6">
        <v>12807</v>
      </c>
      <c r="H224" s="6" t="s">
        <v>24</v>
      </c>
    </row>
    <row r="225" spans="1:8" ht="15" thickBot="1" x14ac:dyDescent="0.35">
      <c r="A225" s="13">
        <v>50224</v>
      </c>
      <c r="B225" s="9">
        <v>21212</v>
      </c>
      <c r="C225" s="9" t="s">
        <v>21</v>
      </c>
      <c r="D225" s="9">
        <v>19</v>
      </c>
      <c r="E225" s="10">
        <v>45415.406944444447</v>
      </c>
      <c r="F225" s="11">
        <v>0.53</v>
      </c>
      <c r="G225" s="9">
        <v>12045</v>
      </c>
      <c r="H225" s="9" t="s">
        <v>18</v>
      </c>
    </row>
    <row r="226" spans="1:8" ht="15" thickBot="1" x14ac:dyDescent="0.35">
      <c r="A226" s="12">
        <v>50225</v>
      </c>
      <c r="B226" s="6" t="s">
        <v>15</v>
      </c>
      <c r="C226" s="6" t="s">
        <v>16</v>
      </c>
      <c r="D226" s="6">
        <v>22</v>
      </c>
      <c r="E226" s="7">
        <v>45465.457638888889</v>
      </c>
      <c r="F226" s="8">
        <v>3.23</v>
      </c>
      <c r="G226" s="6">
        <v>12646</v>
      </c>
      <c r="H226" s="6" t="s">
        <v>23</v>
      </c>
    </row>
    <row r="227" spans="1:8" ht="15" thickBot="1" x14ac:dyDescent="0.35">
      <c r="A227" s="13">
        <v>50226</v>
      </c>
      <c r="B227" s="9">
        <v>84879</v>
      </c>
      <c r="C227" s="9" t="s">
        <v>45</v>
      </c>
      <c r="D227" s="9">
        <v>2</v>
      </c>
      <c r="E227" s="10">
        <v>45324.658333333333</v>
      </c>
      <c r="F227" s="11">
        <v>1.46</v>
      </c>
      <c r="G227" s="9">
        <v>12204</v>
      </c>
      <c r="H227" s="9" t="s">
        <v>14</v>
      </c>
    </row>
    <row r="228" spans="1:8" ht="15" thickBot="1" x14ac:dyDescent="0.35">
      <c r="A228" s="12">
        <v>50227</v>
      </c>
      <c r="B228" s="6">
        <v>22086</v>
      </c>
      <c r="C228" s="6" t="s">
        <v>41</v>
      </c>
      <c r="D228" s="6">
        <v>13</v>
      </c>
      <c r="E228" s="7">
        <v>45450.699305555558</v>
      </c>
      <c r="F228" s="8">
        <v>3.07</v>
      </c>
      <c r="G228" s="6">
        <v>12259</v>
      </c>
      <c r="H228" s="6" t="s">
        <v>14</v>
      </c>
    </row>
    <row r="229" spans="1:8" ht="15" thickBot="1" x14ac:dyDescent="0.35">
      <c r="A229" s="13">
        <v>50228</v>
      </c>
      <c r="B229" s="9">
        <v>22727</v>
      </c>
      <c r="C229" s="9" t="s">
        <v>46</v>
      </c>
      <c r="D229" s="9">
        <v>2</v>
      </c>
      <c r="E229" s="10">
        <v>45438.586805555555</v>
      </c>
      <c r="F229" s="11">
        <v>3.62</v>
      </c>
      <c r="G229" s="9">
        <v>12127</v>
      </c>
      <c r="H229" s="9" t="s">
        <v>18</v>
      </c>
    </row>
    <row r="230" spans="1:8" ht="15" thickBot="1" x14ac:dyDescent="0.35">
      <c r="A230" s="12">
        <v>50229</v>
      </c>
      <c r="B230" s="6" t="s">
        <v>39</v>
      </c>
      <c r="C230" s="6" t="s">
        <v>40</v>
      </c>
      <c r="D230" s="6">
        <v>13</v>
      </c>
      <c r="E230" s="7">
        <v>45496.645833333336</v>
      </c>
      <c r="F230" s="8">
        <v>1.9</v>
      </c>
      <c r="G230" s="6">
        <v>12708</v>
      </c>
      <c r="H230" s="6" t="s">
        <v>28</v>
      </c>
    </row>
    <row r="231" spans="1:8" ht="15" thickBot="1" x14ac:dyDescent="0.35">
      <c r="A231" s="13">
        <v>50230</v>
      </c>
      <c r="B231" s="9">
        <v>21212</v>
      </c>
      <c r="C231" s="9" t="s">
        <v>21</v>
      </c>
      <c r="D231" s="9">
        <v>3</v>
      </c>
      <c r="E231" s="10">
        <v>45557.522916666669</v>
      </c>
      <c r="F231" s="11">
        <v>0.48</v>
      </c>
      <c r="G231" s="9">
        <v>12616</v>
      </c>
      <c r="H231" s="9" t="s">
        <v>23</v>
      </c>
    </row>
    <row r="232" spans="1:8" ht="15" thickBot="1" x14ac:dyDescent="0.35">
      <c r="A232" s="12">
        <v>50231</v>
      </c>
      <c r="B232" s="6" t="s">
        <v>15</v>
      </c>
      <c r="C232" s="6" t="s">
        <v>16</v>
      </c>
      <c r="D232" s="6">
        <v>4</v>
      </c>
      <c r="E232" s="7">
        <v>45442.561111111114</v>
      </c>
      <c r="F232" s="8">
        <v>3.19</v>
      </c>
      <c r="G232" s="6">
        <v>12313</v>
      </c>
      <c r="H232" s="6" t="s">
        <v>28</v>
      </c>
    </row>
    <row r="233" spans="1:8" ht="15" thickBot="1" x14ac:dyDescent="0.35">
      <c r="A233" s="13">
        <v>50232</v>
      </c>
      <c r="B233" s="9">
        <v>84991</v>
      </c>
      <c r="C233" s="9" t="s">
        <v>25</v>
      </c>
      <c r="D233" s="9">
        <v>23</v>
      </c>
      <c r="E233" s="10">
        <v>45510.451388888891</v>
      </c>
      <c r="F233" s="11">
        <v>0.55000000000000004</v>
      </c>
      <c r="G233" s="9">
        <v>12744</v>
      </c>
      <c r="H233" s="9" t="s">
        <v>18</v>
      </c>
    </row>
    <row r="234" spans="1:8" ht="15" thickBot="1" x14ac:dyDescent="0.35">
      <c r="A234" s="12">
        <v>50233</v>
      </c>
      <c r="B234" s="6">
        <v>84991</v>
      </c>
      <c r="C234" s="6" t="s">
        <v>25</v>
      </c>
      <c r="D234" s="6">
        <v>21</v>
      </c>
      <c r="E234" s="7">
        <v>45514.52847222222</v>
      </c>
      <c r="F234" s="8">
        <v>0.65</v>
      </c>
      <c r="G234" s="6">
        <v>12076</v>
      </c>
      <c r="H234" s="6" t="s">
        <v>26</v>
      </c>
    </row>
    <row r="235" spans="1:8" ht="15" thickBot="1" x14ac:dyDescent="0.35">
      <c r="A235" s="13">
        <v>50234</v>
      </c>
      <c r="B235" s="9">
        <v>21212</v>
      </c>
      <c r="C235" s="9" t="s">
        <v>21</v>
      </c>
      <c r="D235" s="9">
        <v>1</v>
      </c>
      <c r="E235" s="10">
        <v>45554.446527777778</v>
      </c>
      <c r="F235" s="11">
        <v>0.57999999999999996</v>
      </c>
      <c r="G235" s="9">
        <v>12800</v>
      </c>
      <c r="H235" s="9" t="s">
        <v>28</v>
      </c>
    </row>
    <row r="236" spans="1:8" ht="15" thickBot="1" x14ac:dyDescent="0.35">
      <c r="A236" s="12">
        <v>50235</v>
      </c>
      <c r="B236" s="6">
        <v>71053</v>
      </c>
      <c r="C236" s="6" t="s">
        <v>38</v>
      </c>
      <c r="D236" s="6">
        <v>8</v>
      </c>
      <c r="E236" s="7">
        <v>45356.380555555559</v>
      </c>
      <c r="F236" s="8">
        <v>3.32</v>
      </c>
      <c r="G236" s="6">
        <v>12392</v>
      </c>
      <c r="H236" s="6" t="s">
        <v>20</v>
      </c>
    </row>
    <row r="237" spans="1:8" ht="15" thickBot="1" x14ac:dyDescent="0.35">
      <c r="A237" s="13">
        <v>50236</v>
      </c>
      <c r="B237" s="9">
        <v>71053</v>
      </c>
      <c r="C237" s="9" t="s">
        <v>38</v>
      </c>
      <c r="D237" s="9">
        <v>22</v>
      </c>
      <c r="E237" s="10">
        <v>45601.442361111112</v>
      </c>
      <c r="F237" s="11">
        <v>3.32</v>
      </c>
      <c r="G237" s="9">
        <v>12454</v>
      </c>
      <c r="H237" s="9" t="s">
        <v>24</v>
      </c>
    </row>
    <row r="238" spans="1:8" ht="15" thickBot="1" x14ac:dyDescent="0.35">
      <c r="A238" s="12">
        <v>50237</v>
      </c>
      <c r="B238" s="6" t="s">
        <v>43</v>
      </c>
      <c r="C238" s="6" t="s">
        <v>44</v>
      </c>
      <c r="D238" s="6">
        <v>12</v>
      </c>
      <c r="E238" s="7">
        <v>45362.709722222222</v>
      </c>
      <c r="F238" s="8">
        <v>1.35</v>
      </c>
      <c r="G238" s="6">
        <v>12255</v>
      </c>
      <c r="H238" s="6" t="s">
        <v>24</v>
      </c>
    </row>
    <row r="239" spans="1:8" ht="15" thickBot="1" x14ac:dyDescent="0.35">
      <c r="A239" s="13">
        <v>50238</v>
      </c>
      <c r="B239" s="9" t="s">
        <v>31</v>
      </c>
      <c r="C239" s="9" t="s">
        <v>32</v>
      </c>
      <c r="D239" s="9">
        <v>17</v>
      </c>
      <c r="E239" s="10">
        <v>45387.688194444447</v>
      </c>
      <c r="F239" s="11">
        <v>2.67</v>
      </c>
      <c r="G239" s="9">
        <v>12268</v>
      </c>
      <c r="H239" s="9" t="s">
        <v>22</v>
      </c>
    </row>
    <row r="240" spans="1:8" ht="15" thickBot="1" x14ac:dyDescent="0.35">
      <c r="A240" s="12">
        <v>50239</v>
      </c>
      <c r="B240" s="6">
        <v>20725</v>
      </c>
      <c r="C240" s="6" t="s">
        <v>19</v>
      </c>
      <c r="D240" s="6">
        <v>23</v>
      </c>
      <c r="E240" s="7">
        <v>45401.536111111112</v>
      </c>
      <c r="F240" s="8">
        <v>1.69</v>
      </c>
      <c r="G240" s="6">
        <v>12125</v>
      </c>
      <c r="H240" s="6" t="s">
        <v>23</v>
      </c>
    </row>
    <row r="241" spans="1:8" ht="15" thickBot="1" x14ac:dyDescent="0.35">
      <c r="A241" s="13">
        <v>50240</v>
      </c>
      <c r="B241" s="9" t="s">
        <v>12</v>
      </c>
      <c r="C241" s="9" t="s">
        <v>13</v>
      </c>
      <c r="D241" s="9">
        <v>23</v>
      </c>
      <c r="E241" s="10">
        <v>45523.455555555556</v>
      </c>
      <c r="F241" s="11">
        <v>2.42</v>
      </c>
      <c r="G241" s="9">
        <v>12698</v>
      </c>
      <c r="H241" s="9" t="s">
        <v>18</v>
      </c>
    </row>
    <row r="242" spans="1:8" ht="15" thickBot="1" x14ac:dyDescent="0.35">
      <c r="A242" s="12">
        <v>50241</v>
      </c>
      <c r="B242" s="6">
        <v>21212</v>
      </c>
      <c r="C242" s="6" t="s">
        <v>21</v>
      </c>
      <c r="D242" s="6">
        <v>18</v>
      </c>
      <c r="E242" s="7">
        <v>45655.379166666666</v>
      </c>
      <c r="F242" s="8">
        <v>0.64</v>
      </c>
      <c r="G242" s="6">
        <v>12871</v>
      </c>
      <c r="H242" s="6" t="s">
        <v>23</v>
      </c>
    </row>
    <row r="243" spans="1:8" ht="15" thickBot="1" x14ac:dyDescent="0.35">
      <c r="A243" s="13">
        <v>50242</v>
      </c>
      <c r="B243" s="9">
        <v>22720</v>
      </c>
      <c r="C243" s="9" t="s">
        <v>17</v>
      </c>
      <c r="D243" s="9">
        <v>8</v>
      </c>
      <c r="E243" s="10">
        <v>45477.694444444445</v>
      </c>
      <c r="F243" s="11">
        <v>4.5599999999999996</v>
      </c>
      <c r="G243" s="9">
        <v>12142</v>
      </c>
      <c r="H243" s="9" t="s">
        <v>37</v>
      </c>
    </row>
    <row r="244" spans="1:8" ht="15" thickBot="1" x14ac:dyDescent="0.35">
      <c r="A244" s="12">
        <v>50243</v>
      </c>
      <c r="B244" s="6">
        <v>23203</v>
      </c>
      <c r="C244" s="6" t="s">
        <v>30</v>
      </c>
      <c r="D244" s="6">
        <v>18</v>
      </c>
      <c r="E244" s="7">
        <v>45305.589583333334</v>
      </c>
      <c r="F244" s="8">
        <v>2.11</v>
      </c>
      <c r="G244" s="6">
        <v>12564</v>
      </c>
      <c r="H244" s="6" t="s">
        <v>23</v>
      </c>
    </row>
    <row r="245" spans="1:8" ht="15" thickBot="1" x14ac:dyDescent="0.35">
      <c r="A245" s="13">
        <v>50244</v>
      </c>
      <c r="B245" s="9">
        <v>84991</v>
      </c>
      <c r="C245" s="9" t="s">
        <v>25</v>
      </c>
      <c r="D245" s="9">
        <v>10</v>
      </c>
      <c r="E245" s="10">
        <v>45336.379861111112</v>
      </c>
      <c r="F245" s="11">
        <v>0.61</v>
      </c>
      <c r="G245" s="9">
        <v>12490</v>
      </c>
      <c r="H245" s="9" t="s">
        <v>10</v>
      </c>
    </row>
    <row r="246" spans="1:8" ht="15" thickBot="1" x14ac:dyDescent="0.35">
      <c r="A246" s="12">
        <v>50245</v>
      </c>
      <c r="B246" s="6" t="s">
        <v>39</v>
      </c>
      <c r="C246" s="6" t="s">
        <v>40</v>
      </c>
      <c r="D246" s="6">
        <v>3</v>
      </c>
      <c r="E246" s="7">
        <v>45501.741666666669</v>
      </c>
      <c r="F246" s="8">
        <v>2</v>
      </c>
      <c r="G246" s="6">
        <v>12075</v>
      </c>
      <c r="H246" s="6" t="s">
        <v>28</v>
      </c>
    </row>
    <row r="247" spans="1:8" ht="15" thickBot="1" x14ac:dyDescent="0.35">
      <c r="A247" s="13">
        <v>50246</v>
      </c>
      <c r="B247" s="9">
        <v>20725</v>
      </c>
      <c r="C247" s="9" t="s">
        <v>19</v>
      </c>
      <c r="D247" s="9">
        <v>12</v>
      </c>
      <c r="E247" s="10">
        <v>45640.700694444444</v>
      </c>
      <c r="F247" s="11">
        <v>1.88</v>
      </c>
      <c r="G247" s="9">
        <v>12564</v>
      </c>
      <c r="H247" s="9" t="s">
        <v>20</v>
      </c>
    </row>
    <row r="248" spans="1:8" ht="15" thickBot="1" x14ac:dyDescent="0.35">
      <c r="A248" s="12">
        <v>50247</v>
      </c>
      <c r="B248" s="6">
        <v>22720</v>
      </c>
      <c r="C248" s="6" t="s">
        <v>17</v>
      </c>
      <c r="D248" s="6">
        <v>17</v>
      </c>
      <c r="E248" s="7">
        <v>45358.640972222223</v>
      </c>
      <c r="F248" s="8">
        <v>4.3</v>
      </c>
      <c r="G248" s="6">
        <v>12127</v>
      </c>
      <c r="H248" s="6" t="s">
        <v>10</v>
      </c>
    </row>
    <row r="249" spans="1:8" ht="15" thickBot="1" x14ac:dyDescent="0.35">
      <c r="A249" s="13">
        <v>50248</v>
      </c>
      <c r="B249" s="9">
        <v>84879</v>
      </c>
      <c r="C249" s="9" t="s">
        <v>45</v>
      </c>
      <c r="D249" s="9">
        <v>6</v>
      </c>
      <c r="E249" s="10">
        <v>45447.45</v>
      </c>
      <c r="F249" s="11">
        <v>1.86</v>
      </c>
      <c r="G249" s="9">
        <v>12354</v>
      </c>
      <c r="H249" s="9" t="s">
        <v>10</v>
      </c>
    </row>
    <row r="250" spans="1:8" ht="15" thickBot="1" x14ac:dyDescent="0.35">
      <c r="A250" s="12">
        <v>50249</v>
      </c>
      <c r="B250" s="6">
        <v>22960</v>
      </c>
      <c r="C250" s="6" t="s">
        <v>49</v>
      </c>
      <c r="D250" s="6">
        <v>7</v>
      </c>
      <c r="E250" s="7">
        <v>45332.511111111111</v>
      </c>
      <c r="F250" s="8">
        <v>4.43</v>
      </c>
      <c r="G250" s="6">
        <v>12128</v>
      </c>
      <c r="H250" s="6" t="s">
        <v>22</v>
      </c>
    </row>
    <row r="251" spans="1:8" ht="15" thickBot="1" x14ac:dyDescent="0.35">
      <c r="A251" s="13">
        <v>50250</v>
      </c>
      <c r="B251" s="9">
        <v>84991</v>
      </c>
      <c r="C251" s="9" t="s">
        <v>25</v>
      </c>
      <c r="D251" s="9">
        <v>17</v>
      </c>
      <c r="E251" s="10">
        <v>45565.399305555555</v>
      </c>
      <c r="F251" s="11">
        <v>0.57999999999999996</v>
      </c>
      <c r="G251" s="9">
        <v>12594</v>
      </c>
      <c r="H251" s="9" t="s">
        <v>23</v>
      </c>
    </row>
    <row r="252" spans="1:8" ht="15" thickBot="1" x14ac:dyDescent="0.35">
      <c r="A252" s="12" t="s">
        <v>63</v>
      </c>
      <c r="B252" s="6">
        <v>22720</v>
      </c>
      <c r="C252" s="6" t="s">
        <v>17</v>
      </c>
      <c r="D252" s="6">
        <v>-1</v>
      </c>
      <c r="E252" s="7">
        <v>45629.572916666664</v>
      </c>
      <c r="F252" s="8">
        <v>4.3499999999999996</v>
      </c>
      <c r="G252" s="6">
        <v>12971</v>
      </c>
      <c r="H252" s="6" t="s">
        <v>20</v>
      </c>
    </row>
    <row r="253" spans="1:8" ht="15" thickBot="1" x14ac:dyDescent="0.35">
      <c r="A253" s="13">
        <v>50252</v>
      </c>
      <c r="B253" s="9">
        <v>47566</v>
      </c>
      <c r="C253" s="9" t="s">
        <v>27</v>
      </c>
      <c r="D253" s="9">
        <v>19</v>
      </c>
      <c r="E253" s="10">
        <v>45625.482638888891</v>
      </c>
      <c r="F253" s="11">
        <v>5.31</v>
      </c>
      <c r="G253" s="9">
        <v>12509</v>
      </c>
      <c r="H253" s="9" t="s">
        <v>10</v>
      </c>
    </row>
    <row r="254" spans="1:8" ht="15" thickBot="1" x14ac:dyDescent="0.35">
      <c r="A254" s="12">
        <v>50253</v>
      </c>
      <c r="B254" s="6">
        <v>22960</v>
      </c>
      <c r="C254" s="6" t="s">
        <v>49</v>
      </c>
      <c r="D254" s="6">
        <v>16</v>
      </c>
      <c r="E254" s="7">
        <v>45620.54791666667</v>
      </c>
      <c r="F254" s="8">
        <v>4.8099999999999996</v>
      </c>
      <c r="G254" s="6">
        <v>12415</v>
      </c>
      <c r="H254" s="6" t="s">
        <v>22</v>
      </c>
    </row>
    <row r="255" spans="1:8" ht="15" thickBot="1" x14ac:dyDescent="0.35">
      <c r="A255" s="13">
        <v>50254</v>
      </c>
      <c r="B255" s="9">
        <v>20725</v>
      </c>
      <c r="C255" s="9" t="s">
        <v>19</v>
      </c>
      <c r="D255" s="9">
        <v>6</v>
      </c>
      <c r="E255" s="10">
        <v>45329.375694444447</v>
      </c>
      <c r="F255" s="11">
        <v>1.68</v>
      </c>
      <c r="G255" s="9">
        <v>12208</v>
      </c>
      <c r="H255" s="9" t="s">
        <v>18</v>
      </c>
    </row>
    <row r="256" spans="1:8" ht="15" thickBot="1" x14ac:dyDescent="0.35">
      <c r="A256" s="12">
        <v>50255</v>
      </c>
      <c r="B256" s="6">
        <v>84991</v>
      </c>
      <c r="C256" s="6" t="s">
        <v>25</v>
      </c>
      <c r="D256" s="6">
        <v>23</v>
      </c>
      <c r="E256" s="7">
        <v>45365.555555555555</v>
      </c>
      <c r="F256" s="8">
        <v>0.66</v>
      </c>
      <c r="G256" s="6">
        <v>12353</v>
      </c>
      <c r="H256" s="6" t="s">
        <v>26</v>
      </c>
    </row>
    <row r="257" spans="1:8" ht="15" thickBot="1" x14ac:dyDescent="0.35">
      <c r="A257" s="13">
        <v>50256</v>
      </c>
      <c r="B257" s="9">
        <v>84879</v>
      </c>
      <c r="C257" s="9" t="s">
        <v>45</v>
      </c>
      <c r="D257" s="9">
        <v>18</v>
      </c>
      <c r="E257" s="10">
        <v>45481.699305555558</v>
      </c>
      <c r="F257" s="11">
        <v>1.58</v>
      </c>
      <c r="G257" s="9">
        <v>12125</v>
      </c>
      <c r="H257" s="9" t="s">
        <v>22</v>
      </c>
    </row>
    <row r="258" spans="1:8" ht="15" thickBot="1" x14ac:dyDescent="0.35">
      <c r="A258" s="12" t="s">
        <v>64</v>
      </c>
      <c r="B258" s="6">
        <v>20725</v>
      </c>
      <c r="C258" s="6" t="s">
        <v>19</v>
      </c>
      <c r="D258" s="6">
        <v>-4</v>
      </c>
      <c r="E258" s="7">
        <v>45418.433333333334</v>
      </c>
      <c r="F258" s="8">
        <v>1.9</v>
      </c>
      <c r="G258" s="6">
        <v>12428</v>
      </c>
      <c r="H258" s="6" t="s">
        <v>37</v>
      </c>
    </row>
    <row r="259" spans="1:8" ht="15" thickBot="1" x14ac:dyDescent="0.35">
      <c r="A259" s="13">
        <v>50258</v>
      </c>
      <c r="B259" s="9">
        <v>22720</v>
      </c>
      <c r="C259" s="9" t="s">
        <v>17</v>
      </c>
      <c r="D259" s="9">
        <v>24</v>
      </c>
      <c r="E259" s="10">
        <v>45459.743750000001</v>
      </c>
      <c r="F259" s="11">
        <v>5.53</v>
      </c>
      <c r="G259" s="9">
        <v>12510</v>
      </c>
      <c r="H259" s="9" t="s">
        <v>10</v>
      </c>
    </row>
    <row r="260" spans="1:8" ht="15" thickBot="1" x14ac:dyDescent="0.35">
      <c r="A260" s="12" t="s">
        <v>65</v>
      </c>
      <c r="B260" s="6">
        <v>20725</v>
      </c>
      <c r="C260" s="6" t="s">
        <v>19</v>
      </c>
      <c r="D260" s="6">
        <v>-7</v>
      </c>
      <c r="E260" s="7">
        <v>45547.552083333336</v>
      </c>
      <c r="F260" s="8">
        <v>1.69</v>
      </c>
      <c r="G260" s="6">
        <v>12989</v>
      </c>
      <c r="H260" s="6" t="s">
        <v>37</v>
      </c>
    </row>
    <row r="261" spans="1:8" ht="15" thickBot="1" x14ac:dyDescent="0.35">
      <c r="A261" s="13" t="s">
        <v>66</v>
      </c>
      <c r="B261" s="9">
        <v>22727</v>
      </c>
      <c r="C261" s="9" t="s">
        <v>46</v>
      </c>
      <c r="D261" s="9">
        <v>-2</v>
      </c>
      <c r="E261" s="10">
        <v>45590.584027777775</v>
      </c>
      <c r="F261" s="11">
        <v>3.97</v>
      </c>
      <c r="G261" s="9">
        <v>12863</v>
      </c>
      <c r="H261" s="9" t="s">
        <v>28</v>
      </c>
    </row>
    <row r="262" spans="1:8" ht="15" thickBot="1" x14ac:dyDescent="0.35">
      <c r="A262" s="12">
        <v>50261</v>
      </c>
      <c r="B262" s="6">
        <v>22960</v>
      </c>
      <c r="C262" s="6" t="s">
        <v>49</v>
      </c>
      <c r="D262" s="6">
        <v>4</v>
      </c>
      <c r="E262" s="7">
        <v>45566.338888888888</v>
      </c>
      <c r="F262" s="8">
        <v>4.93</v>
      </c>
      <c r="G262" s="6">
        <v>12744</v>
      </c>
      <c r="H262" s="6" t="s">
        <v>18</v>
      </c>
    </row>
    <row r="263" spans="1:8" ht="15" thickBot="1" x14ac:dyDescent="0.35">
      <c r="A263" s="13" t="s">
        <v>67</v>
      </c>
      <c r="B263" s="9">
        <v>22386</v>
      </c>
      <c r="C263" s="9" t="s">
        <v>29</v>
      </c>
      <c r="D263" s="9">
        <v>-4</v>
      </c>
      <c r="E263" s="10">
        <v>45479.365277777775</v>
      </c>
      <c r="F263" s="11">
        <v>1.9</v>
      </c>
      <c r="G263" s="9">
        <v>12295</v>
      </c>
      <c r="H263" s="9" t="s">
        <v>24</v>
      </c>
    </row>
    <row r="264" spans="1:8" ht="15" thickBot="1" x14ac:dyDescent="0.35">
      <c r="A264" s="12">
        <v>50263</v>
      </c>
      <c r="B264" s="6">
        <v>22386</v>
      </c>
      <c r="C264" s="6" t="s">
        <v>29</v>
      </c>
      <c r="D264" s="6">
        <v>18</v>
      </c>
      <c r="E264" s="7">
        <v>45550.65347222222</v>
      </c>
      <c r="F264" s="8">
        <v>2.33</v>
      </c>
      <c r="G264" s="6">
        <v>12696</v>
      </c>
      <c r="H264" s="6" t="s">
        <v>20</v>
      </c>
    </row>
    <row r="265" spans="1:8" ht="15" thickBot="1" x14ac:dyDescent="0.35">
      <c r="A265" s="13">
        <v>50264</v>
      </c>
      <c r="B265" s="9" t="s">
        <v>8</v>
      </c>
      <c r="C265" s="9" t="s">
        <v>9</v>
      </c>
      <c r="D265" s="9">
        <v>13</v>
      </c>
      <c r="E265" s="10">
        <v>45357.402083333334</v>
      </c>
      <c r="F265" s="11">
        <v>4.05</v>
      </c>
      <c r="G265" s="9">
        <v>12571</v>
      </c>
      <c r="H265" s="9" t="s">
        <v>18</v>
      </c>
    </row>
    <row r="266" spans="1:8" ht="15" thickBot="1" x14ac:dyDescent="0.35">
      <c r="A266" s="12">
        <v>50265</v>
      </c>
      <c r="B266" s="6">
        <v>84879</v>
      </c>
      <c r="C266" s="6" t="s">
        <v>45</v>
      </c>
      <c r="D266" s="6">
        <v>13</v>
      </c>
      <c r="E266" s="7">
        <v>45393.695138888892</v>
      </c>
      <c r="F266" s="8">
        <v>1.46</v>
      </c>
      <c r="G266" s="6">
        <v>12140</v>
      </c>
      <c r="H266" s="6" t="s">
        <v>18</v>
      </c>
    </row>
    <row r="267" spans="1:8" ht="15" thickBot="1" x14ac:dyDescent="0.35">
      <c r="A267" s="13">
        <v>50266</v>
      </c>
      <c r="B267" s="9">
        <v>23203</v>
      </c>
      <c r="C267" s="9" t="s">
        <v>30</v>
      </c>
      <c r="D267" s="9">
        <v>5</v>
      </c>
      <c r="E267" s="10">
        <v>45557.657638888886</v>
      </c>
      <c r="F267" s="11">
        <v>2.14</v>
      </c>
      <c r="G267" s="9">
        <v>12335</v>
      </c>
      <c r="H267" s="9" t="s">
        <v>20</v>
      </c>
    </row>
    <row r="268" spans="1:8" ht="15" thickBot="1" x14ac:dyDescent="0.35">
      <c r="A268" s="12">
        <v>50267</v>
      </c>
      <c r="B268" s="6">
        <v>22086</v>
      </c>
      <c r="C268" s="6" t="s">
        <v>41</v>
      </c>
      <c r="D268" s="6">
        <v>20</v>
      </c>
      <c r="E268" s="7">
        <v>45375.612500000003</v>
      </c>
      <c r="F268" s="8">
        <v>2.82</v>
      </c>
      <c r="G268" s="6">
        <v>12344</v>
      </c>
      <c r="H268" s="6" t="s">
        <v>10</v>
      </c>
    </row>
    <row r="269" spans="1:8" ht="15" thickBot="1" x14ac:dyDescent="0.35">
      <c r="A269" s="13">
        <v>50268</v>
      </c>
      <c r="B269" s="9" t="s">
        <v>33</v>
      </c>
      <c r="C269" s="9" t="s">
        <v>34</v>
      </c>
      <c r="D269" s="9">
        <v>23</v>
      </c>
      <c r="E269" s="10">
        <v>45564.681250000001</v>
      </c>
      <c r="F269" s="11">
        <v>18.29</v>
      </c>
      <c r="G269" s="9">
        <v>12017</v>
      </c>
      <c r="H269" s="9" t="s">
        <v>18</v>
      </c>
    </row>
    <row r="270" spans="1:8" ht="15" thickBot="1" x14ac:dyDescent="0.35">
      <c r="A270" s="12">
        <v>50269</v>
      </c>
      <c r="B270" s="6">
        <v>22086</v>
      </c>
      <c r="C270" s="6" t="s">
        <v>41</v>
      </c>
      <c r="D270" s="6">
        <v>14</v>
      </c>
      <c r="E270" s="7">
        <v>45636.411111111112</v>
      </c>
      <c r="F270" s="8">
        <v>3.33</v>
      </c>
      <c r="G270" s="6">
        <v>12742</v>
      </c>
      <c r="H270" s="6" t="s">
        <v>14</v>
      </c>
    </row>
    <row r="271" spans="1:8" ht="15" thickBot="1" x14ac:dyDescent="0.35">
      <c r="A271" s="13">
        <v>50270</v>
      </c>
      <c r="B271" s="9">
        <v>84991</v>
      </c>
      <c r="C271" s="9" t="s">
        <v>25</v>
      </c>
      <c r="D271" s="9">
        <v>21</v>
      </c>
      <c r="E271" s="10">
        <v>45534.521527777775</v>
      </c>
      <c r="F271" s="11">
        <v>0.62</v>
      </c>
      <c r="G271" s="9">
        <v>12591</v>
      </c>
      <c r="H271" s="9" t="s">
        <v>37</v>
      </c>
    </row>
    <row r="272" spans="1:8" ht="15" thickBot="1" x14ac:dyDescent="0.35">
      <c r="A272" s="12">
        <v>50271</v>
      </c>
      <c r="B272" s="6">
        <v>71053</v>
      </c>
      <c r="C272" s="6" t="s">
        <v>38</v>
      </c>
      <c r="D272" s="6">
        <v>6</v>
      </c>
      <c r="E272" s="7">
        <v>45590.674305555556</v>
      </c>
      <c r="F272" s="8">
        <v>3.74</v>
      </c>
      <c r="G272" s="6">
        <v>12793</v>
      </c>
      <c r="H272" s="6" t="s">
        <v>26</v>
      </c>
    </row>
    <row r="273" spans="1:8" ht="15" thickBot="1" x14ac:dyDescent="0.35">
      <c r="A273" s="13">
        <v>50272</v>
      </c>
      <c r="B273" s="9">
        <v>84879</v>
      </c>
      <c r="C273" s="9" t="s">
        <v>45</v>
      </c>
      <c r="D273" s="9">
        <v>2</v>
      </c>
      <c r="E273" s="10">
        <v>45640.505555555559</v>
      </c>
      <c r="F273" s="11">
        <v>1.85</v>
      </c>
      <c r="G273" s="9">
        <v>12195</v>
      </c>
      <c r="H273" s="9" t="s">
        <v>14</v>
      </c>
    </row>
    <row r="274" spans="1:8" ht="15" thickBot="1" x14ac:dyDescent="0.35">
      <c r="A274" s="12">
        <v>50273</v>
      </c>
      <c r="B274" s="6">
        <v>20725</v>
      </c>
      <c r="C274" s="6" t="s">
        <v>19</v>
      </c>
      <c r="D274" s="6">
        <v>5</v>
      </c>
      <c r="E274" s="7">
        <v>45452.630555555559</v>
      </c>
      <c r="F274" s="8">
        <v>1.52</v>
      </c>
      <c r="G274" s="6">
        <v>12513</v>
      </c>
      <c r="H274" s="6" t="s">
        <v>20</v>
      </c>
    </row>
    <row r="275" spans="1:8" ht="15" thickBot="1" x14ac:dyDescent="0.35">
      <c r="A275" s="13">
        <v>50274</v>
      </c>
      <c r="B275" s="9">
        <v>23203</v>
      </c>
      <c r="C275" s="9" t="s">
        <v>30</v>
      </c>
      <c r="D275" s="9">
        <v>17</v>
      </c>
      <c r="E275" s="10">
        <v>45323.431250000001</v>
      </c>
      <c r="F275" s="11">
        <v>2</v>
      </c>
      <c r="G275" s="9">
        <v>12678</v>
      </c>
      <c r="H275" s="9" t="s">
        <v>28</v>
      </c>
    </row>
    <row r="276" spans="1:8" ht="15" thickBot="1" x14ac:dyDescent="0.35">
      <c r="A276" s="12">
        <v>50275</v>
      </c>
      <c r="B276" s="6" t="s">
        <v>33</v>
      </c>
      <c r="C276" s="6" t="s">
        <v>34</v>
      </c>
      <c r="D276" s="6">
        <v>6</v>
      </c>
      <c r="E276" s="7">
        <v>45484.556250000001</v>
      </c>
      <c r="F276" s="8">
        <v>18.66</v>
      </c>
      <c r="G276" s="6">
        <v>12559</v>
      </c>
      <c r="H276" s="6" t="s">
        <v>18</v>
      </c>
    </row>
    <row r="277" spans="1:8" ht="15" thickBot="1" x14ac:dyDescent="0.35">
      <c r="A277" s="13">
        <v>50276</v>
      </c>
      <c r="B277" s="9">
        <v>47566</v>
      </c>
      <c r="C277" s="9" t="s">
        <v>27</v>
      </c>
      <c r="D277" s="9">
        <v>7</v>
      </c>
      <c r="E277" s="10">
        <v>45604.677083333336</v>
      </c>
      <c r="F277" s="11">
        <v>4.6900000000000004</v>
      </c>
      <c r="G277" s="9">
        <v>12305</v>
      </c>
      <c r="H277" s="9" t="s">
        <v>37</v>
      </c>
    </row>
    <row r="278" spans="1:8" ht="15" thickBot="1" x14ac:dyDescent="0.35">
      <c r="A278" s="12">
        <v>50277</v>
      </c>
      <c r="B278" s="6">
        <v>22960</v>
      </c>
      <c r="C278" s="6" t="s">
        <v>49</v>
      </c>
      <c r="D278" s="6">
        <v>23</v>
      </c>
      <c r="E278" s="7">
        <v>45439.480555555558</v>
      </c>
      <c r="F278" s="8">
        <v>4.08</v>
      </c>
      <c r="G278" s="6">
        <v>12357</v>
      </c>
      <c r="H278" s="6" t="s">
        <v>10</v>
      </c>
    </row>
    <row r="279" spans="1:8" ht="15" thickBot="1" x14ac:dyDescent="0.35">
      <c r="A279" s="13">
        <v>50278</v>
      </c>
      <c r="B279" s="9">
        <v>47566</v>
      </c>
      <c r="C279" s="9" t="s">
        <v>27</v>
      </c>
      <c r="D279" s="9">
        <v>19</v>
      </c>
      <c r="E279" s="10">
        <v>45439.419444444444</v>
      </c>
      <c r="F279" s="11">
        <v>4.87</v>
      </c>
      <c r="G279" s="9">
        <v>12404</v>
      </c>
      <c r="H279" s="9" t="s">
        <v>18</v>
      </c>
    </row>
    <row r="280" spans="1:8" ht="15" thickBot="1" x14ac:dyDescent="0.35">
      <c r="A280" s="12">
        <v>50279</v>
      </c>
      <c r="B280" s="6">
        <v>84879</v>
      </c>
      <c r="C280" s="6" t="s">
        <v>45</v>
      </c>
      <c r="D280" s="6">
        <v>10</v>
      </c>
      <c r="E280" s="7">
        <v>45440.363194444442</v>
      </c>
      <c r="F280" s="8">
        <v>1.48</v>
      </c>
      <c r="G280" s="6">
        <v>12946</v>
      </c>
      <c r="H280" s="6" t="s">
        <v>28</v>
      </c>
    </row>
    <row r="281" spans="1:8" ht="15" thickBot="1" x14ac:dyDescent="0.35">
      <c r="A281" s="13">
        <v>50280</v>
      </c>
      <c r="B281" s="9">
        <v>47566</v>
      </c>
      <c r="C281" s="9" t="s">
        <v>27</v>
      </c>
      <c r="D281" s="9">
        <v>7</v>
      </c>
      <c r="E281" s="10">
        <v>45537.48541666667</v>
      </c>
      <c r="F281" s="11">
        <v>4.68</v>
      </c>
      <c r="G281" s="9">
        <v>12575</v>
      </c>
      <c r="H281" s="9" t="s">
        <v>22</v>
      </c>
    </row>
    <row r="282" spans="1:8" ht="15" thickBot="1" x14ac:dyDescent="0.35">
      <c r="A282" s="12">
        <v>50281</v>
      </c>
      <c r="B282" s="6">
        <v>84879</v>
      </c>
      <c r="C282" s="6" t="s">
        <v>45</v>
      </c>
      <c r="D282" s="6">
        <v>8</v>
      </c>
      <c r="E282" s="7">
        <v>45347.75</v>
      </c>
      <c r="F282" s="8">
        <v>1.83</v>
      </c>
      <c r="G282" s="6">
        <v>12543</v>
      </c>
      <c r="H282" s="6" t="s">
        <v>37</v>
      </c>
    </row>
    <row r="283" spans="1:8" ht="15" thickBot="1" x14ac:dyDescent="0.35">
      <c r="A283" s="13">
        <v>50282</v>
      </c>
      <c r="B283" s="9">
        <v>22423</v>
      </c>
      <c r="C283" s="9" t="s">
        <v>36</v>
      </c>
      <c r="D283" s="9">
        <v>14</v>
      </c>
      <c r="E283" s="10">
        <v>45318.404166666667</v>
      </c>
      <c r="F283" s="11">
        <v>12.95</v>
      </c>
      <c r="G283" s="9">
        <v>12697</v>
      </c>
      <c r="H283" s="9" t="s">
        <v>23</v>
      </c>
    </row>
    <row r="284" spans="1:8" ht="15" thickBot="1" x14ac:dyDescent="0.35">
      <c r="A284" s="12">
        <v>50283</v>
      </c>
      <c r="B284" s="6" t="s">
        <v>31</v>
      </c>
      <c r="C284" s="6" t="s">
        <v>32</v>
      </c>
      <c r="D284" s="6">
        <v>14</v>
      </c>
      <c r="E284" s="7">
        <v>45573.445138888892</v>
      </c>
      <c r="F284" s="8">
        <v>2.95</v>
      </c>
      <c r="G284" s="6">
        <v>12487</v>
      </c>
      <c r="H284" s="6" t="s">
        <v>28</v>
      </c>
    </row>
    <row r="285" spans="1:8" ht="15" thickBot="1" x14ac:dyDescent="0.35">
      <c r="A285" s="13">
        <v>50284</v>
      </c>
      <c r="B285" s="9">
        <v>22727</v>
      </c>
      <c r="C285" s="9" t="s">
        <v>46</v>
      </c>
      <c r="D285" s="9">
        <v>10</v>
      </c>
      <c r="E285" s="10">
        <v>45439.561111111114</v>
      </c>
      <c r="F285" s="11">
        <v>4.38</v>
      </c>
      <c r="G285" s="9">
        <v>12091</v>
      </c>
      <c r="H285" s="9" t="s">
        <v>20</v>
      </c>
    </row>
    <row r="286" spans="1:8" ht="15" thickBot="1" x14ac:dyDescent="0.35">
      <c r="A286" s="12">
        <v>50285</v>
      </c>
      <c r="B286" s="6">
        <v>22423</v>
      </c>
      <c r="C286" s="6" t="s">
        <v>36</v>
      </c>
      <c r="D286" s="6">
        <v>6</v>
      </c>
      <c r="E286" s="7">
        <v>45565.359722222223</v>
      </c>
      <c r="F286" s="8">
        <v>14.58</v>
      </c>
      <c r="G286" s="6">
        <v>12956</v>
      </c>
      <c r="H286" s="6" t="s">
        <v>14</v>
      </c>
    </row>
    <row r="287" spans="1:8" ht="15" thickBot="1" x14ac:dyDescent="0.35">
      <c r="A287" s="13">
        <v>50286</v>
      </c>
      <c r="B287" s="9">
        <v>22386</v>
      </c>
      <c r="C287" s="9" t="s">
        <v>29</v>
      </c>
      <c r="D287" s="9">
        <v>24</v>
      </c>
      <c r="E287" s="10">
        <v>45545.465277777781</v>
      </c>
      <c r="F287" s="11">
        <v>2.29</v>
      </c>
      <c r="G287" s="9">
        <v>12897</v>
      </c>
      <c r="H287" s="9" t="s">
        <v>14</v>
      </c>
    </row>
    <row r="288" spans="1:8" ht="15" thickBot="1" x14ac:dyDescent="0.35">
      <c r="A288" s="12">
        <v>50287</v>
      </c>
      <c r="B288" s="6" t="s">
        <v>31</v>
      </c>
      <c r="C288" s="6" t="s">
        <v>32</v>
      </c>
      <c r="D288" s="6">
        <v>20</v>
      </c>
      <c r="E288" s="7">
        <v>45444.736805555556</v>
      </c>
      <c r="F288" s="8">
        <v>3.04</v>
      </c>
      <c r="G288" s="6">
        <v>12291</v>
      </c>
      <c r="H288" s="6" t="s">
        <v>28</v>
      </c>
    </row>
    <row r="289" spans="1:8" ht="15" thickBot="1" x14ac:dyDescent="0.35">
      <c r="A289" s="13">
        <v>50288</v>
      </c>
      <c r="B289" s="9" t="s">
        <v>15</v>
      </c>
      <c r="C289" s="9" t="s">
        <v>16</v>
      </c>
      <c r="D289" s="9">
        <v>5</v>
      </c>
      <c r="E289" s="10">
        <v>45560.684027777781</v>
      </c>
      <c r="F289" s="11">
        <v>2.99</v>
      </c>
      <c r="G289" s="9">
        <v>12197</v>
      </c>
      <c r="H289" s="9" t="s">
        <v>24</v>
      </c>
    </row>
    <row r="290" spans="1:8" ht="15" thickBot="1" x14ac:dyDescent="0.35">
      <c r="A290" s="12">
        <v>50289</v>
      </c>
      <c r="B290" s="6">
        <v>22086</v>
      </c>
      <c r="C290" s="6" t="s">
        <v>41</v>
      </c>
      <c r="D290" s="6">
        <v>21</v>
      </c>
      <c r="E290" s="7">
        <v>45375.65902777778</v>
      </c>
      <c r="F290" s="8">
        <v>2.7</v>
      </c>
      <c r="G290" s="6">
        <v>12754</v>
      </c>
      <c r="H290" s="6" t="s">
        <v>18</v>
      </c>
    </row>
    <row r="291" spans="1:8" ht="15" thickBot="1" x14ac:dyDescent="0.35">
      <c r="A291" s="13">
        <v>50290</v>
      </c>
      <c r="B291" s="9">
        <v>22960</v>
      </c>
      <c r="C291" s="9" t="s">
        <v>49</v>
      </c>
      <c r="D291" s="9">
        <v>6</v>
      </c>
      <c r="E291" s="10">
        <v>45582.470138888886</v>
      </c>
      <c r="F291" s="11">
        <v>4.5599999999999996</v>
      </c>
      <c r="G291" s="9">
        <v>12415</v>
      </c>
      <c r="H291" s="9" t="s">
        <v>26</v>
      </c>
    </row>
    <row r="292" spans="1:8" ht="15" thickBot="1" x14ac:dyDescent="0.35">
      <c r="A292" s="12">
        <v>50291</v>
      </c>
      <c r="B292" s="6" t="s">
        <v>33</v>
      </c>
      <c r="C292" s="6" t="s">
        <v>34</v>
      </c>
      <c r="D292" s="6">
        <v>13</v>
      </c>
      <c r="E292" s="7">
        <v>45459.394444444442</v>
      </c>
      <c r="F292" s="8">
        <v>16.46</v>
      </c>
      <c r="G292" s="6">
        <v>12143</v>
      </c>
      <c r="H292" s="6" t="s">
        <v>28</v>
      </c>
    </row>
    <row r="293" spans="1:8" ht="15" thickBot="1" x14ac:dyDescent="0.35">
      <c r="A293" s="13">
        <v>50292</v>
      </c>
      <c r="B293" s="9">
        <v>22086</v>
      </c>
      <c r="C293" s="9" t="s">
        <v>41</v>
      </c>
      <c r="D293" s="9">
        <v>9</v>
      </c>
      <c r="E293" s="10">
        <v>45419.337500000001</v>
      </c>
      <c r="F293" s="11">
        <v>2.97</v>
      </c>
      <c r="G293" s="9">
        <v>12273</v>
      </c>
      <c r="H293" s="9" t="s">
        <v>18</v>
      </c>
    </row>
    <row r="294" spans="1:8" ht="15" thickBot="1" x14ac:dyDescent="0.35">
      <c r="A294" s="12">
        <v>50293</v>
      </c>
      <c r="B294" s="6">
        <v>22960</v>
      </c>
      <c r="C294" s="6" t="s">
        <v>49</v>
      </c>
      <c r="D294" s="6">
        <v>1</v>
      </c>
      <c r="E294" s="7">
        <v>45590.740277777775</v>
      </c>
      <c r="F294" s="8">
        <v>4.1500000000000004</v>
      </c>
      <c r="G294" s="6">
        <v>12241</v>
      </c>
      <c r="H294" s="6" t="s">
        <v>14</v>
      </c>
    </row>
    <row r="295" spans="1:8" ht="15" thickBot="1" x14ac:dyDescent="0.35">
      <c r="A295" s="13">
        <v>50294</v>
      </c>
      <c r="B295" s="9" t="s">
        <v>8</v>
      </c>
      <c r="C295" s="9" t="s">
        <v>9</v>
      </c>
      <c r="D295" s="9">
        <v>6</v>
      </c>
      <c r="E295" s="10">
        <v>45530.551388888889</v>
      </c>
      <c r="F295" s="11">
        <v>3.48</v>
      </c>
      <c r="G295" s="9">
        <v>12916</v>
      </c>
      <c r="H295" s="9" t="s">
        <v>22</v>
      </c>
    </row>
    <row r="296" spans="1:8" ht="15" thickBot="1" x14ac:dyDescent="0.35">
      <c r="A296" s="12">
        <v>50295</v>
      </c>
      <c r="B296" s="6" t="s">
        <v>8</v>
      </c>
      <c r="C296" s="6" t="s">
        <v>9</v>
      </c>
      <c r="D296" s="6">
        <v>12</v>
      </c>
      <c r="E296" s="7">
        <v>45619.543055555558</v>
      </c>
      <c r="F296" s="8">
        <v>3.14</v>
      </c>
      <c r="G296" s="6">
        <v>12136</v>
      </c>
      <c r="H296" s="6" t="s">
        <v>28</v>
      </c>
    </row>
    <row r="297" spans="1:8" ht="15" thickBot="1" x14ac:dyDescent="0.35">
      <c r="A297" s="13">
        <v>50296</v>
      </c>
      <c r="B297" s="9">
        <v>84879</v>
      </c>
      <c r="C297" s="9" t="s">
        <v>45</v>
      </c>
      <c r="D297" s="9">
        <v>14</v>
      </c>
      <c r="E297" s="10">
        <v>45524.598611111112</v>
      </c>
      <c r="F297" s="11">
        <v>1.98</v>
      </c>
      <c r="G297" s="9">
        <v>12775</v>
      </c>
      <c r="H297" s="9" t="s">
        <v>10</v>
      </c>
    </row>
    <row r="298" spans="1:8" ht="15" thickBot="1" x14ac:dyDescent="0.35">
      <c r="A298" s="12">
        <v>50297</v>
      </c>
      <c r="B298" s="6">
        <v>22727</v>
      </c>
      <c r="C298" s="6" t="s">
        <v>46</v>
      </c>
      <c r="D298" s="6">
        <v>17</v>
      </c>
      <c r="E298" s="7">
        <v>45418.390972222223</v>
      </c>
      <c r="F298" s="8">
        <v>4.1100000000000003</v>
      </c>
      <c r="G298" s="6">
        <v>12079</v>
      </c>
      <c r="H298" s="6" t="s">
        <v>20</v>
      </c>
    </row>
    <row r="299" spans="1:8" ht="15" thickBot="1" x14ac:dyDescent="0.35">
      <c r="A299" s="13">
        <v>50298</v>
      </c>
      <c r="B299" s="9" t="s">
        <v>8</v>
      </c>
      <c r="C299" s="9" t="s">
        <v>9</v>
      </c>
      <c r="D299" s="9">
        <v>17</v>
      </c>
      <c r="E299" s="10">
        <v>45323.722222222219</v>
      </c>
      <c r="F299" s="11">
        <v>3.52</v>
      </c>
      <c r="G299" s="9">
        <v>12168</v>
      </c>
      <c r="H299" s="9" t="s">
        <v>18</v>
      </c>
    </row>
    <row r="300" spans="1:8" ht="15" thickBot="1" x14ac:dyDescent="0.35">
      <c r="A300" s="12">
        <v>50299</v>
      </c>
      <c r="B300" s="6" t="s">
        <v>33</v>
      </c>
      <c r="C300" s="6" t="s">
        <v>34</v>
      </c>
      <c r="D300" s="6">
        <v>22</v>
      </c>
      <c r="E300" s="7">
        <v>45518.415972222225</v>
      </c>
      <c r="F300" s="8">
        <v>18.97</v>
      </c>
      <c r="G300" s="6">
        <v>12093</v>
      </c>
      <c r="H300" s="6" t="s">
        <v>10</v>
      </c>
    </row>
    <row r="301" spans="1:8" ht="15" thickBot="1" x14ac:dyDescent="0.35">
      <c r="A301" s="13">
        <v>50300</v>
      </c>
      <c r="B301" s="9">
        <v>20725</v>
      </c>
      <c r="C301" s="9" t="s">
        <v>19</v>
      </c>
      <c r="D301" s="9">
        <v>5</v>
      </c>
      <c r="E301" s="10">
        <v>45320.655555555553</v>
      </c>
      <c r="F301" s="11">
        <v>1.67</v>
      </c>
      <c r="G301" s="9">
        <v>12059</v>
      </c>
      <c r="H301" s="9" t="s">
        <v>10</v>
      </c>
    </row>
    <row r="302" spans="1:8" ht="15" thickBot="1" x14ac:dyDescent="0.35">
      <c r="A302" s="12" t="s">
        <v>68</v>
      </c>
      <c r="B302" s="6">
        <v>20725</v>
      </c>
      <c r="C302" s="6" t="s">
        <v>19</v>
      </c>
      <c r="D302" s="6">
        <v>-5</v>
      </c>
      <c r="E302" s="7">
        <v>45636.552083333336</v>
      </c>
      <c r="F302" s="8">
        <v>1.87</v>
      </c>
      <c r="G302" s="6">
        <v>12763</v>
      </c>
      <c r="H302" s="6" t="s">
        <v>37</v>
      </c>
    </row>
    <row r="303" spans="1:8" ht="15" thickBot="1" x14ac:dyDescent="0.35">
      <c r="A303" s="13">
        <v>50302</v>
      </c>
      <c r="B303" s="9" t="s">
        <v>43</v>
      </c>
      <c r="C303" s="9" t="s">
        <v>44</v>
      </c>
      <c r="D303" s="9">
        <v>14</v>
      </c>
      <c r="E303" s="10">
        <v>45329.365277777775</v>
      </c>
      <c r="F303" s="11">
        <v>1.0900000000000001</v>
      </c>
      <c r="G303" s="9">
        <v>12061</v>
      </c>
      <c r="H303" s="9" t="s">
        <v>24</v>
      </c>
    </row>
    <row r="304" spans="1:8" ht="15" thickBot="1" x14ac:dyDescent="0.35">
      <c r="A304" s="12">
        <v>50303</v>
      </c>
      <c r="B304" s="6">
        <v>23203</v>
      </c>
      <c r="C304" s="6" t="s">
        <v>30</v>
      </c>
      <c r="D304" s="6">
        <v>14</v>
      </c>
      <c r="E304" s="7">
        <v>45308.536805555559</v>
      </c>
      <c r="F304" s="8">
        <v>1.87</v>
      </c>
      <c r="G304" s="6">
        <v>12656</v>
      </c>
      <c r="H304" s="6" t="s">
        <v>26</v>
      </c>
    </row>
    <row r="305" spans="1:8" ht="15" thickBot="1" x14ac:dyDescent="0.35">
      <c r="A305" s="13">
        <v>50304</v>
      </c>
      <c r="B305" s="9">
        <v>21212</v>
      </c>
      <c r="C305" s="9" t="s">
        <v>21</v>
      </c>
      <c r="D305" s="9">
        <v>13</v>
      </c>
      <c r="E305" s="10">
        <v>45487.652083333334</v>
      </c>
      <c r="F305" s="11">
        <v>0.6</v>
      </c>
      <c r="G305" s="9">
        <v>12677</v>
      </c>
      <c r="H305" s="9" t="s">
        <v>10</v>
      </c>
    </row>
    <row r="306" spans="1:8" ht="15" thickBot="1" x14ac:dyDescent="0.35">
      <c r="A306" s="12">
        <v>50305</v>
      </c>
      <c r="B306" s="6">
        <v>84879</v>
      </c>
      <c r="C306" s="6" t="s">
        <v>45</v>
      </c>
      <c r="D306" s="6">
        <v>4</v>
      </c>
      <c r="E306" s="7">
        <v>45626.580555555556</v>
      </c>
      <c r="F306" s="8">
        <v>1.75</v>
      </c>
      <c r="G306" s="6">
        <v>12541</v>
      </c>
      <c r="H306" s="6" t="s">
        <v>23</v>
      </c>
    </row>
    <row r="307" spans="1:8" ht="15" thickBot="1" x14ac:dyDescent="0.35">
      <c r="A307" s="13">
        <v>50306</v>
      </c>
      <c r="B307" s="9">
        <v>22423</v>
      </c>
      <c r="C307" s="9" t="s">
        <v>36</v>
      </c>
      <c r="D307" s="9">
        <v>10</v>
      </c>
      <c r="E307" s="10">
        <v>45293.349305555559</v>
      </c>
      <c r="F307" s="11">
        <v>14.05</v>
      </c>
      <c r="G307" s="9">
        <v>12434</v>
      </c>
      <c r="H307" s="9" t="s">
        <v>10</v>
      </c>
    </row>
    <row r="308" spans="1:8" ht="15" thickBot="1" x14ac:dyDescent="0.35">
      <c r="A308" s="12">
        <v>50307</v>
      </c>
      <c r="B308" s="6">
        <v>22386</v>
      </c>
      <c r="C308" s="6" t="s">
        <v>29</v>
      </c>
      <c r="D308" s="6">
        <v>15</v>
      </c>
      <c r="E308" s="7">
        <v>45409.509027777778</v>
      </c>
      <c r="F308" s="8">
        <v>1.85</v>
      </c>
      <c r="G308" s="6">
        <v>12959</v>
      </c>
      <c r="H308" s="6" t="s">
        <v>24</v>
      </c>
    </row>
    <row r="309" spans="1:8" ht="15" thickBot="1" x14ac:dyDescent="0.35">
      <c r="A309" s="13">
        <v>50308</v>
      </c>
      <c r="B309" s="9">
        <v>71053</v>
      </c>
      <c r="C309" s="9" t="s">
        <v>38</v>
      </c>
      <c r="D309" s="9">
        <v>20</v>
      </c>
      <c r="E309" s="10">
        <v>45630.631249999999</v>
      </c>
      <c r="F309" s="11">
        <v>3.93</v>
      </c>
      <c r="G309" s="9">
        <v>12016</v>
      </c>
      <c r="H309" s="9" t="s">
        <v>37</v>
      </c>
    </row>
    <row r="310" spans="1:8" ht="15" thickBot="1" x14ac:dyDescent="0.35">
      <c r="A310" s="12" t="s">
        <v>69</v>
      </c>
      <c r="B310" s="6">
        <v>22727</v>
      </c>
      <c r="C310" s="6" t="s">
        <v>46</v>
      </c>
      <c r="D310" s="6">
        <v>-1</v>
      </c>
      <c r="E310" s="7">
        <v>45326.404861111114</v>
      </c>
      <c r="F310" s="8">
        <v>3.51</v>
      </c>
      <c r="G310" s="6">
        <v>12045</v>
      </c>
      <c r="H310" s="6" t="s">
        <v>26</v>
      </c>
    </row>
    <row r="311" spans="1:8" ht="15" thickBot="1" x14ac:dyDescent="0.35">
      <c r="A311" s="13">
        <v>50310</v>
      </c>
      <c r="B311" s="9">
        <v>20725</v>
      </c>
      <c r="C311" s="9" t="s">
        <v>19</v>
      </c>
      <c r="D311" s="9">
        <v>7</v>
      </c>
      <c r="E311" s="10">
        <v>45411.716666666667</v>
      </c>
      <c r="F311" s="11">
        <v>1.85</v>
      </c>
      <c r="G311" s="9">
        <v>12143</v>
      </c>
      <c r="H311" s="9" t="s">
        <v>10</v>
      </c>
    </row>
    <row r="312" spans="1:8" ht="15" thickBot="1" x14ac:dyDescent="0.35">
      <c r="A312" s="12">
        <v>50311</v>
      </c>
      <c r="B312" s="6">
        <v>22960</v>
      </c>
      <c r="C312" s="6" t="s">
        <v>49</v>
      </c>
      <c r="D312" s="6">
        <v>11</v>
      </c>
      <c r="E312" s="7">
        <v>45411.742361111108</v>
      </c>
      <c r="F312" s="8">
        <v>4.76</v>
      </c>
      <c r="G312" s="6">
        <v>12838</v>
      </c>
      <c r="H312" s="6" t="s">
        <v>18</v>
      </c>
    </row>
    <row r="313" spans="1:8" ht="15" thickBot="1" x14ac:dyDescent="0.35">
      <c r="A313" s="13">
        <v>50312</v>
      </c>
      <c r="B313" s="9">
        <v>22423</v>
      </c>
      <c r="C313" s="9" t="s">
        <v>36</v>
      </c>
      <c r="D313" s="9">
        <v>22</v>
      </c>
      <c r="E313" s="10">
        <v>45446.43472222222</v>
      </c>
      <c r="F313" s="11">
        <v>12.68</v>
      </c>
      <c r="G313" s="9">
        <v>12281</v>
      </c>
      <c r="H313" s="9" t="s">
        <v>14</v>
      </c>
    </row>
    <row r="314" spans="1:8" ht="15" thickBot="1" x14ac:dyDescent="0.35">
      <c r="A314" s="12">
        <v>50313</v>
      </c>
      <c r="B314" s="6" t="s">
        <v>15</v>
      </c>
      <c r="C314" s="6" t="s">
        <v>16</v>
      </c>
      <c r="D314" s="6">
        <v>21</v>
      </c>
      <c r="E314" s="7">
        <v>45594.457638888889</v>
      </c>
      <c r="F314" s="8">
        <v>3.08</v>
      </c>
      <c r="G314" s="6">
        <v>12048</v>
      </c>
      <c r="H314" s="6" t="s">
        <v>18</v>
      </c>
    </row>
    <row r="315" spans="1:8" ht="15" thickBot="1" x14ac:dyDescent="0.35">
      <c r="A315" s="13">
        <v>50314</v>
      </c>
      <c r="B315" s="9">
        <v>22386</v>
      </c>
      <c r="C315" s="9" t="s">
        <v>29</v>
      </c>
      <c r="D315" s="9">
        <v>23</v>
      </c>
      <c r="E315" s="10">
        <v>45560.55972222222</v>
      </c>
      <c r="F315" s="11">
        <v>1.76</v>
      </c>
      <c r="G315" s="9">
        <v>12385</v>
      </c>
      <c r="H315" s="9" t="s">
        <v>23</v>
      </c>
    </row>
    <row r="316" spans="1:8" ht="15" thickBot="1" x14ac:dyDescent="0.35">
      <c r="A316" s="12">
        <v>50315</v>
      </c>
      <c r="B316" s="6" t="s">
        <v>15</v>
      </c>
      <c r="C316" s="6" t="s">
        <v>16</v>
      </c>
      <c r="D316" s="6">
        <v>8</v>
      </c>
      <c r="E316" s="7">
        <v>45534.504166666666</v>
      </c>
      <c r="F316" s="8">
        <v>3.24</v>
      </c>
      <c r="G316" s="6">
        <v>12825</v>
      </c>
      <c r="H316" s="6" t="s">
        <v>28</v>
      </c>
    </row>
    <row r="317" spans="1:8" ht="15" thickBot="1" x14ac:dyDescent="0.35">
      <c r="A317" s="13">
        <v>50316</v>
      </c>
      <c r="B317" s="9">
        <v>71053</v>
      </c>
      <c r="C317" s="9" t="s">
        <v>38</v>
      </c>
      <c r="D317" s="9">
        <v>14</v>
      </c>
      <c r="E317" s="10">
        <v>45579.626388888886</v>
      </c>
      <c r="F317" s="11">
        <v>3.04</v>
      </c>
      <c r="G317" s="9">
        <v>12248</v>
      </c>
      <c r="H317" s="9" t="s">
        <v>22</v>
      </c>
    </row>
    <row r="318" spans="1:8" ht="15" thickBot="1" x14ac:dyDescent="0.35">
      <c r="A318" s="12">
        <v>50317</v>
      </c>
      <c r="B318" s="6">
        <v>22727</v>
      </c>
      <c r="C318" s="6" t="s">
        <v>46</v>
      </c>
      <c r="D318" s="6">
        <v>15</v>
      </c>
      <c r="E318" s="7">
        <v>45461.388888888891</v>
      </c>
      <c r="F318" s="8">
        <v>3.31</v>
      </c>
      <c r="G318" s="6">
        <v>12741</v>
      </c>
      <c r="H318" s="6" t="s">
        <v>37</v>
      </c>
    </row>
    <row r="319" spans="1:8" ht="15" thickBot="1" x14ac:dyDescent="0.35">
      <c r="A319" s="13">
        <v>50318</v>
      </c>
      <c r="B319" s="9">
        <v>71053</v>
      </c>
      <c r="C319" s="9" t="s">
        <v>38</v>
      </c>
      <c r="D319" s="9">
        <v>22</v>
      </c>
      <c r="E319" s="10">
        <v>45429.601388888892</v>
      </c>
      <c r="F319" s="11">
        <v>2.93</v>
      </c>
      <c r="G319" s="9">
        <v>12074</v>
      </c>
      <c r="H319" s="9" t="s">
        <v>37</v>
      </c>
    </row>
    <row r="320" spans="1:8" ht="15" thickBot="1" x14ac:dyDescent="0.35">
      <c r="A320" s="12">
        <v>50319</v>
      </c>
      <c r="B320" s="6" t="s">
        <v>43</v>
      </c>
      <c r="C320" s="6" t="s">
        <v>44</v>
      </c>
      <c r="D320" s="6">
        <v>7</v>
      </c>
      <c r="E320" s="7">
        <v>45635.730555555558</v>
      </c>
      <c r="F320" s="8">
        <v>1.44</v>
      </c>
      <c r="G320" s="6">
        <v>12340</v>
      </c>
      <c r="H320" s="6" t="s">
        <v>22</v>
      </c>
    </row>
    <row r="321" spans="1:8" ht="15" thickBot="1" x14ac:dyDescent="0.35">
      <c r="A321" s="13">
        <v>50320</v>
      </c>
      <c r="B321" s="9" t="s">
        <v>31</v>
      </c>
      <c r="C321" s="9" t="s">
        <v>32</v>
      </c>
      <c r="D321" s="9">
        <v>24</v>
      </c>
      <c r="E321" s="10">
        <v>45400.468055555553</v>
      </c>
      <c r="F321" s="11">
        <v>3.06</v>
      </c>
      <c r="G321" s="9">
        <v>12490</v>
      </c>
      <c r="H321" s="9" t="s">
        <v>37</v>
      </c>
    </row>
    <row r="322" spans="1:8" ht="15" thickBot="1" x14ac:dyDescent="0.35">
      <c r="A322" s="12">
        <v>50321</v>
      </c>
      <c r="B322" s="6">
        <v>84991</v>
      </c>
      <c r="C322" s="6" t="s">
        <v>25</v>
      </c>
      <c r="D322" s="6">
        <v>13</v>
      </c>
      <c r="E322" s="7">
        <v>45652.478472222225</v>
      </c>
      <c r="F322" s="8">
        <v>0.56999999999999995</v>
      </c>
      <c r="G322" s="6">
        <v>12794</v>
      </c>
      <c r="H322" s="6" t="s">
        <v>22</v>
      </c>
    </row>
    <row r="323" spans="1:8" ht="15" thickBot="1" x14ac:dyDescent="0.35">
      <c r="A323" s="13">
        <v>50322</v>
      </c>
      <c r="B323" s="9">
        <v>22386</v>
      </c>
      <c r="C323" s="9" t="s">
        <v>29</v>
      </c>
      <c r="D323" s="9">
        <v>21</v>
      </c>
      <c r="E323" s="10">
        <v>45530.712500000001</v>
      </c>
      <c r="F323" s="11">
        <v>1.84</v>
      </c>
      <c r="G323" s="9">
        <v>12525</v>
      </c>
      <c r="H323" s="9" t="s">
        <v>28</v>
      </c>
    </row>
    <row r="324" spans="1:8" ht="15" thickBot="1" x14ac:dyDescent="0.35">
      <c r="A324" s="12">
        <v>50323</v>
      </c>
      <c r="B324" s="6">
        <v>20725</v>
      </c>
      <c r="C324" s="6" t="s">
        <v>19</v>
      </c>
      <c r="D324" s="6">
        <v>11</v>
      </c>
      <c r="E324" s="7">
        <v>45342.666666666664</v>
      </c>
      <c r="F324" s="8">
        <v>1.62</v>
      </c>
      <c r="G324" s="6">
        <v>12423</v>
      </c>
      <c r="H324" s="6" t="s">
        <v>14</v>
      </c>
    </row>
    <row r="325" spans="1:8" ht="15" thickBot="1" x14ac:dyDescent="0.35">
      <c r="A325" s="13">
        <v>50324</v>
      </c>
      <c r="B325" s="9" t="s">
        <v>43</v>
      </c>
      <c r="C325" s="9" t="s">
        <v>44</v>
      </c>
      <c r="D325" s="9">
        <v>1</v>
      </c>
      <c r="E325" s="10">
        <v>45405.436805555553</v>
      </c>
      <c r="F325" s="11">
        <v>1.47</v>
      </c>
      <c r="G325" s="9">
        <v>12593</v>
      </c>
      <c r="H325" s="9" t="s">
        <v>26</v>
      </c>
    </row>
    <row r="326" spans="1:8" ht="15" thickBot="1" x14ac:dyDescent="0.35">
      <c r="A326" s="12">
        <v>50325</v>
      </c>
      <c r="B326" s="6">
        <v>22960</v>
      </c>
      <c r="C326" s="6" t="s">
        <v>49</v>
      </c>
      <c r="D326" s="6">
        <v>11</v>
      </c>
      <c r="E326" s="7">
        <v>45370.472222222219</v>
      </c>
      <c r="F326" s="8">
        <v>4.46</v>
      </c>
      <c r="G326" s="6">
        <v>12251</v>
      </c>
      <c r="H326" s="6" t="s">
        <v>28</v>
      </c>
    </row>
    <row r="327" spans="1:8" ht="15" thickBot="1" x14ac:dyDescent="0.35">
      <c r="A327" s="13">
        <v>50326</v>
      </c>
      <c r="B327" s="9" t="s">
        <v>15</v>
      </c>
      <c r="C327" s="9" t="s">
        <v>16</v>
      </c>
      <c r="D327" s="9">
        <v>9</v>
      </c>
      <c r="E327" s="10">
        <v>45627.572916666664</v>
      </c>
      <c r="F327" s="11">
        <v>3.01</v>
      </c>
      <c r="G327" s="9">
        <v>12740</v>
      </c>
      <c r="H327" s="9" t="s">
        <v>28</v>
      </c>
    </row>
    <row r="328" spans="1:8" ht="15" thickBot="1" x14ac:dyDescent="0.35">
      <c r="A328" s="12">
        <v>50327</v>
      </c>
      <c r="B328" s="6">
        <v>20725</v>
      </c>
      <c r="C328" s="6" t="s">
        <v>19</v>
      </c>
      <c r="D328" s="6">
        <v>6</v>
      </c>
      <c r="E328" s="7">
        <v>45378.583333333336</v>
      </c>
      <c r="F328" s="8">
        <v>1.72</v>
      </c>
      <c r="G328" s="6">
        <v>12188</v>
      </c>
      <c r="H328" s="6" t="s">
        <v>10</v>
      </c>
    </row>
    <row r="329" spans="1:8" ht="15" thickBot="1" x14ac:dyDescent="0.35">
      <c r="A329" s="13">
        <v>50328</v>
      </c>
      <c r="B329" s="9">
        <v>71053</v>
      </c>
      <c r="C329" s="9" t="s">
        <v>38</v>
      </c>
      <c r="D329" s="9">
        <v>3</v>
      </c>
      <c r="E329" s="10">
        <v>45560.356944444444</v>
      </c>
      <c r="F329" s="11">
        <v>3.67</v>
      </c>
      <c r="G329" s="9">
        <v>12782</v>
      </c>
      <c r="H329" s="9" t="s">
        <v>14</v>
      </c>
    </row>
    <row r="330" spans="1:8" ht="15" thickBot="1" x14ac:dyDescent="0.35">
      <c r="A330" s="12">
        <v>50329</v>
      </c>
      <c r="B330" s="6" t="s">
        <v>39</v>
      </c>
      <c r="C330" s="6" t="s">
        <v>40</v>
      </c>
      <c r="D330" s="6">
        <v>3</v>
      </c>
      <c r="E330" s="7">
        <v>45362.49722222222</v>
      </c>
      <c r="F330" s="8">
        <v>1.77</v>
      </c>
      <c r="G330" s="6">
        <v>12517</v>
      </c>
      <c r="H330" s="6" t="s">
        <v>28</v>
      </c>
    </row>
    <row r="331" spans="1:8" ht="15" thickBot="1" x14ac:dyDescent="0.35">
      <c r="A331" s="13">
        <v>50330</v>
      </c>
      <c r="B331" s="9">
        <v>21212</v>
      </c>
      <c r="C331" s="9" t="s">
        <v>21</v>
      </c>
      <c r="D331" s="9">
        <v>22</v>
      </c>
      <c r="E331" s="10">
        <v>45322.676388888889</v>
      </c>
      <c r="F331" s="11">
        <v>0.47</v>
      </c>
      <c r="G331" s="9">
        <v>12564</v>
      </c>
      <c r="H331" s="9" t="s">
        <v>26</v>
      </c>
    </row>
    <row r="332" spans="1:8" ht="15" thickBot="1" x14ac:dyDescent="0.35">
      <c r="A332" s="12">
        <v>50331</v>
      </c>
      <c r="B332" s="6" t="s">
        <v>31</v>
      </c>
      <c r="C332" s="6" t="s">
        <v>32</v>
      </c>
      <c r="D332" s="6">
        <v>24</v>
      </c>
      <c r="E332" s="7">
        <v>45300.709722222222</v>
      </c>
      <c r="F332" s="8">
        <v>3.04</v>
      </c>
      <c r="G332" s="6">
        <v>12017</v>
      </c>
      <c r="H332" s="6" t="s">
        <v>10</v>
      </c>
    </row>
    <row r="333" spans="1:8" ht="15" thickBot="1" x14ac:dyDescent="0.35">
      <c r="A333" s="13">
        <v>50332</v>
      </c>
      <c r="B333" s="9" t="s">
        <v>39</v>
      </c>
      <c r="C333" s="9" t="s">
        <v>40</v>
      </c>
      <c r="D333" s="9">
        <v>4</v>
      </c>
      <c r="E333" s="10">
        <v>45383.40902777778</v>
      </c>
      <c r="F333" s="11">
        <v>1.94</v>
      </c>
      <c r="G333" s="9">
        <v>12634</v>
      </c>
      <c r="H333" s="9" t="s">
        <v>10</v>
      </c>
    </row>
    <row r="334" spans="1:8" ht="15" thickBot="1" x14ac:dyDescent="0.35">
      <c r="A334" s="12">
        <v>50333</v>
      </c>
      <c r="B334" s="6">
        <v>47566</v>
      </c>
      <c r="C334" s="6" t="s">
        <v>27</v>
      </c>
      <c r="D334" s="6">
        <v>13</v>
      </c>
      <c r="E334" s="7">
        <v>45473.522916666669</v>
      </c>
      <c r="F334" s="8">
        <v>5.87</v>
      </c>
      <c r="G334" s="6">
        <v>12470</v>
      </c>
      <c r="H334" s="6" t="s">
        <v>20</v>
      </c>
    </row>
    <row r="335" spans="1:8" ht="15" thickBot="1" x14ac:dyDescent="0.35">
      <c r="A335" s="13">
        <v>50334</v>
      </c>
      <c r="B335" s="9">
        <v>22423</v>
      </c>
      <c r="C335" s="9" t="s">
        <v>36</v>
      </c>
      <c r="D335" s="9">
        <v>10</v>
      </c>
      <c r="E335" s="10">
        <v>45648.493750000001</v>
      </c>
      <c r="F335" s="11">
        <v>14.62</v>
      </c>
      <c r="G335" s="9">
        <v>12669</v>
      </c>
      <c r="H335" s="9" t="s">
        <v>14</v>
      </c>
    </row>
    <row r="336" spans="1:8" ht="15" thickBot="1" x14ac:dyDescent="0.35">
      <c r="A336" s="12">
        <v>50335</v>
      </c>
      <c r="B336" s="6" t="s">
        <v>12</v>
      </c>
      <c r="C336" s="6" t="s">
        <v>13</v>
      </c>
      <c r="D336" s="6">
        <v>13</v>
      </c>
      <c r="E336" s="7">
        <v>45499.602777777778</v>
      </c>
      <c r="F336" s="8">
        <v>2.39</v>
      </c>
      <c r="G336" s="6">
        <v>12009</v>
      </c>
      <c r="H336" s="6" t="s">
        <v>23</v>
      </c>
    </row>
    <row r="337" spans="1:8" ht="15" thickBot="1" x14ac:dyDescent="0.35">
      <c r="A337" s="13">
        <v>50336</v>
      </c>
      <c r="B337" s="9" t="s">
        <v>12</v>
      </c>
      <c r="C337" s="9" t="s">
        <v>13</v>
      </c>
      <c r="D337" s="9">
        <v>21</v>
      </c>
      <c r="E337" s="10">
        <v>45547.64166666667</v>
      </c>
      <c r="F337" s="11">
        <v>2.88</v>
      </c>
      <c r="G337" s="9">
        <v>12878</v>
      </c>
      <c r="H337" s="9" t="s">
        <v>24</v>
      </c>
    </row>
    <row r="338" spans="1:8" ht="15" thickBot="1" x14ac:dyDescent="0.35">
      <c r="A338" s="12">
        <v>50337</v>
      </c>
      <c r="B338" s="6" t="s">
        <v>33</v>
      </c>
      <c r="C338" s="6" t="s">
        <v>34</v>
      </c>
      <c r="D338" s="6">
        <v>7</v>
      </c>
      <c r="E338" s="7">
        <v>45313.496527777781</v>
      </c>
      <c r="F338" s="8">
        <v>19.66</v>
      </c>
      <c r="G338" s="6">
        <v>12580</v>
      </c>
      <c r="H338" s="6" t="s">
        <v>28</v>
      </c>
    </row>
    <row r="339" spans="1:8" ht="15" thickBot="1" x14ac:dyDescent="0.35">
      <c r="A339" s="13">
        <v>50338</v>
      </c>
      <c r="B339" s="9">
        <v>47566</v>
      </c>
      <c r="C339" s="9" t="s">
        <v>27</v>
      </c>
      <c r="D339" s="9">
        <v>22</v>
      </c>
      <c r="E339" s="10">
        <v>45315.386111111111</v>
      </c>
      <c r="F339" s="11">
        <v>5.77</v>
      </c>
      <c r="G339" s="9">
        <v>12577</v>
      </c>
      <c r="H339" s="9" t="s">
        <v>14</v>
      </c>
    </row>
    <row r="340" spans="1:8" ht="15" thickBot="1" x14ac:dyDescent="0.35">
      <c r="A340" s="12">
        <v>50339</v>
      </c>
      <c r="B340" s="6">
        <v>22720</v>
      </c>
      <c r="C340" s="6" t="s">
        <v>17</v>
      </c>
      <c r="D340" s="6">
        <v>7</v>
      </c>
      <c r="E340" s="7">
        <v>45453.344444444447</v>
      </c>
      <c r="F340" s="8">
        <v>5.51</v>
      </c>
      <c r="G340" s="6">
        <v>12729</v>
      </c>
      <c r="H340" s="6" t="s">
        <v>26</v>
      </c>
    </row>
    <row r="341" spans="1:8" ht="15" thickBot="1" x14ac:dyDescent="0.35">
      <c r="A341" s="13">
        <v>50340</v>
      </c>
      <c r="B341" s="9" t="s">
        <v>12</v>
      </c>
      <c r="C341" s="9" t="s">
        <v>13</v>
      </c>
      <c r="D341" s="9">
        <v>19</v>
      </c>
      <c r="E341" s="10">
        <v>45445.448611111111</v>
      </c>
      <c r="F341" s="11">
        <v>3.14</v>
      </c>
      <c r="G341" s="9">
        <v>12398</v>
      </c>
      <c r="H341" s="9" t="s">
        <v>10</v>
      </c>
    </row>
    <row r="342" spans="1:8" ht="15" thickBot="1" x14ac:dyDescent="0.35">
      <c r="A342" s="12">
        <v>50341</v>
      </c>
      <c r="B342" s="6">
        <v>22086</v>
      </c>
      <c r="C342" s="6" t="s">
        <v>41</v>
      </c>
      <c r="D342" s="6">
        <v>23</v>
      </c>
      <c r="E342" s="7">
        <v>45488.432638888888</v>
      </c>
      <c r="F342" s="8">
        <v>3.02</v>
      </c>
      <c r="G342" s="6">
        <v>12997</v>
      </c>
      <c r="H342" s="6" t="s">
        <v>18</v>
      </c>
    </row>
    <row r="343" spans="1:8" ht="15" thickBot="1" x14ac:dyDescent="0.35">
      <c r="A343" s="13">
        <v>50342</v>
      </c>
      <c r="B343" s="9">
        <v>71053</v>
      </c>
      <c r="C343" s="9" t="s">
        <v>38</v>
      </c>
      <c r="D343" s="9">
        <v>8</v>
      </c>
      <c r="E343" s="10">
        <v>45342.643750000003</v>
      </c>
      <c r="F343" s="11">
        <v>3.29</v>
      </c>
      <c r="G343" s="9">
        <v>12787</v>
      </c>
      <c r="H343" s="9" t="s">
        <v>20</v>
      </c>
    </row>
    <row r="344" spans="1:8" ht="15" thickBot="1" x14ac:dyDescent="0.35">
      <c r="A344" s="12">
        <v>50343</v>
      </c>
      <c r="B344" s="6">
        <v>84991</v>
      </c>
      <c r="C344" s="6" t="s">
        <v>25</v>
      </c>
      <c r="D344" s="6">
        <v>1</v>
      </c>
      <c r="E344" s="7">
        <v>45495.56527777778</v>
      </c>
      <c r="F344" s="8">
        <v>0.62</v>
      </c>
      <c r="G344" s="6">
        <v>12461</v>
      </c>
      <c r="H344" s="6" t="s">
        <v>28</v>
      </c>
    </row>
    <row r="345" spans="1:8" ht="15" thickBot="1" x14ac:dyDescent="0.35">
      <c r="A345" s="13">
        <v>50344</v>
      </c>
      <c r="B345" s="9">
        <v>22423</v>
      </c>
      <c r="C345" s="9" t="s">
        <v>36</v>
      </c>
      <c r="D345" s="9">
        <v>13</v>
      </c>
      <c r="E345" s="10">
        <v>45474.726388888892</v>
      </c>
      <c r="F345" s="11">
        <v>13.87</v>
      </c>
      <c r="G345" s="9">
        <v>12676</v>
      </c>
      <c r="H345" s="9" t="s">
        <v>26</v>
      </c>
    </row>
    <row r="346" spans="1:8" ht="15" thickBot="1" x14ac:dyDescent="0.35">
      <c r="A346" s="12">
        <v>50345</v>
      </c>
      <c r="B346" s="6" t="s">
        <v>12</v>
      </c>
      <c r="C346" s="6" t="s">
        <v>13</v>
      </c>
      <c r="D346" s="6">
        <v>8</v>
      </c>
      <c r="E346" s="7">
        <v>45608.543055555558</v>
      </c>
      <c r="F346" s="8">
        <v>2.42</v>
      </c>
      <c r="G346" s="6">
        <v>12157</v>
      </c>
      <c r="H346" s="6" t="s">
        <v>26</v>
      </c>
    </row>
    <row r="347" spans="1:8" ht="15" thickBot="1" x14ac:dyDescent="0.35">
      <c r="A347" s="13">
        <v>50346</v>
      </c>
      <c r="B347" s="9">
        <v>84879</v>
      </c>
      <c r="C347" s="9" t="s">
        <v>45</v>
      </c>
      <c r="D347" s="9">
        <v>12</v>
      </c>
      <c r="E347" s="10">
        <v>45491.558333333334</v>
      </c>
      <c r="F347" s="11">
        <v>1.44</v>
      </c>
      <c r="G347" s="9">
        <v>12315</v>
      </c>
      <c r="H347" s="9" t="s">
        <v>28</v>
      </c>
    </row>
    <row r="348" spans="1:8" ht="15" thickBot="1" x14ac:dyDescent="0.35">
      <c r="A348" s="12">
        <v>50347</v>
      </c>
      <c r="B348" s="6">
        <v>21212</v>
      </c>
      <c r="C348" s="6" t="s">
        <v>21</v>
      </c>
      <c r="D348" s="6">
        <v>5</v>
      </c>
      <c r="E348" s="7">
        <v>45430.405555555553</v>
      </c>
      <c r="F348" s="8">
        <v>0.55000000000000004</v>
      </c>
      <c r="G348" s="6">
        <v>12570</v>
      </c>
      <c r="H348" s="6" t="s">
        <v>10</v>
      </c>
    </row>
    <row r="349" spans="1:8" ht="15" thickBot="1" x14ac:dyDescent="0.35">
      <c r="A349" s="13">
        <v>50348</v>
      </c>
      <c r="B349" s="9" t="s">
        <v>33</v>
      </c>
      <c r="C349" s="9" t="s">
        <v>34</v>
      </c>
      <c r="D349" s="9">
        <v>1</v>
      </c>
      <c r="E349" s="10">
        <v>45500.40625</v>
      </c>
      <c r="F349" s="11">
        <v>18.79</v>
      </c>
      <c r="G349" s="9">
        <v>12611</v>
      </c>
      <c r="H349" s="9" t="s">
        <v>20</v>
      </c>
    </row>
    <row r="350" spans="1:8" ht="15" thickBot="1" x14ac:dyDescent="0.35">
      <c r="A350" s="12">
        <v>50349</v>
      </c>
      <c r="B350" s="6">
        <v>22086</v>
      </c>
      <c r="C350" s="6" t="s">
        <v>41</v>
      </c>
      <c r="D350" s="6">
        <v>10</v>
      </c>
      <c r="E350" s="7">
        <v>45489.341666666667</v>
      </c>
      <c r="F350" s="8">
        <v>3.31</v>
      </c>
      <c r="G350" s="6">
        <v>12742</v>
      </c>
      <c r="H350" s="6" t="s">
        <v>10</v>
      </c>
    </row>
    <row r="351" spans="1:8" ht="15" thickBot="1" x14ac:dyDescent="0.35">
      <c r="A351" s="13">
        <v>50350</v>
      </c>
      <c r="B351" s="9">
        <v>22423</v>
      </c>
      <c r="C351" s="9" t="s">
        <v>36</v>
      </c>
      <c r="D351" s="9">
        <v>6</v>
      </c>
      <c r="E351" s="10">
        <v>45584.703472222223</v>
      </c>
      <c r="F351" s="11">
        <v>11.59</v>
      </c>
      <c r="G351" s="9">
        <v>12275</v>
      </c>
      <c r="H351" s="9" t="s">
        <v>22</v>
      </c>
    </row>
    <row r="352" spans="1:8" ht="15" thickBot="1" x14ac:dyDescent="0.35">
      <c r="A352" s="12">
        <v>50351</v>
      </c>
      <c r="B352" s="6">
        <v>47566</v>
      </c>
      <c r="C352" s="6" t="s">
        <v>27</v>
      </c>
      <c r="D352" s="6">
        <v>3</v>
      </c>
      <c r="E352" s="7">
        <v>45544.436805555553</v>
      </c>
      <c r="F352" s="8">
        <v>4.6900000000000004</v>
      </c>
      <c r="G352" s="6">
        <v>12306</v>
      </c>
      <c r="H352" s="6" t="s">
        <v>28</v>
      </c>
    </row>
    <row r="353" spans="1:8" ht="15" thickBot="1" x14ac:dyDescent="0.35">
      <c r="A353" s="13">
        <v>50352</v>
      </c>
      <c r="B353" s="9" t="s">
        <v>12</v>
      </c>
      <c r="C353" s="9" t="s">
        <v>13</v>
      </c>
      <c r="D353" s="9">
        <v>8</v>
      </c>
      <c r="E353" s="10">
        <v>45476.511805555558</v>
      </c>
      <c r="F353" s="11">
        <v>2.81</v>
      </c>
      <c r="G353" s="9">
        <v>12631</v>
      </c>
      <c r="H353" s="9" t="s">
        <v>37</v>
      </c>
    </row>
    <row r="354" spans="1:8" ht="15" thickBot="1" x14ac:dyDescent="0.35">
      <c r="A354" s="12" t="s">
        <v>70</v>
      </c>
      <c r="B354" s="6">
        <v>20725</v>
      </c>
      <c r="C354" s="6" t="s">
        <v>19</v>
      </c>
      <c r="D354" s="6">
        <v>-7</v>
      </c>
      <c r="E354" s="7">
        <v>45346.429166666669</v>
      </c>
      <c r="F354" s="8">
        <v>1.59</v>
      </c>
      <c r="G354" s="6">
        <v>12635</v>
      </c>
      <c r="H354" s="6" t="s">
        <v>26</v>
      </c>
    </row>
    <row r="355" spans="1:8" ht="15" thickBot="1" x14ac:dyDescent="0.35">
      <c r="A355" s="13">
        <v>50354</v>
      </c>
      <c r="B355" s="9">
        <v>22086</v>
      </c>
      <c r="C355" s="9" t="s">
        <v>41</v>
      </c>
      <c r="D355" s="9">
        <v>14</v>
      </c>
      <c r="E355" s="10">
        <v>45517.570833333331</v>
      </c>
      <c r="F355" s="11">
        <v>3.39</v>
      </c>
      <c r="G355" s="9">
        <v>12997</v>
      </c>
      <c r="H355" s="9" t="s">
        <v>20</v>
      </c>
    </row>
    <row r="356" spans="1:8" ht="15" thickBot="1" x14ac:dyDescent="0.35">
      <c r="A356" s="12">
        <v>50355</v>
      </c>
      <c r="B356" s="6">
        <v>84879</v>
      </c>
      <c r="C356" s="6" t="s">
        <v>45</v>
      </c>
      <c r="D356" s="6">
        <v>20</v>
      </c>
      <c r="E356" s="7">
        <v>45445.561111111114</v>
      </c>
      <c r="F356" s="8">
        <v>1.56</v>
      </c>
      <c r="G356" s="6">
        <v>12321</v>
      </c>
      <c r="H356" s="6" t="s">
        <v>23</v>
      </c>
    </row>
    <row r="357" spans="1:8" ht="15" thickBot="1" x14ac:dyDescent="0.35">
      <c r="A357" s="13">
        <v>50356</v>
      </c>
      <c r="B357" s="9">
        <v>22386</v>
      </c>
      <c r="C357" s="9" t="s">
        <v>29</v>
      </c>
      <c r="D357" s="9">
        <v>24</v>
      </c>
      <c r="E357" s="10">
        <v>45455.540277777778</v>
      </c>
      <c r="F357" s="11">
        <v>1.99</v>
      </c>
      <c r="G357" s="9">
        <v>12589</v>
      </c>
      <c r="H357" s="9" t="s">
        <v>37</v>
      </c>
    </row>
    <row r="358" spans="1:8" ht="15" thickBot="1" x14ac:dyDescent="0.35">
      <c r="A358" s="12">
        <v>50357</v>
      </c>
      <c r="B358" s="6">
        <v>22086</v>
      </c>
      <c r="C358" s="6" t="s">
        <v>41</v>
      </c>
      <c r="D358" s="6">
        <v>13</v>
      </c>
      <c r="E358" s="7">
        <v>45484.532638888886</v>
      </c>
      <c r="F358" s="8">
        <v>3.47</v>
      </c>
      <c r="G358" s="6">
        <v>12204</v>
      </c>
      <c r="H358" s="6" t="s">
        <v>20</v>
      </c>
    </row>
    <row r="359" spans="1:8" ht="15" thickBot="1" x14ac:dyDescent="0.35">
      <c r="A359" s="13">
        <v>50358</v>
      </c>
      <c r="B359" s="9" t="s">
        <v>15</v>
      </c>
      <c r="C359" s="9" t="s">
        <v>16</v>
      </c>
      <c r="D359" s="9">
        <v>1</v>
      </c>
      <c r="E359" s="10">
        <v>45384.724305555559</v>
      </c>
      <c r="F359" s="11">
        <v>2.98</v>
      </c>
      <c r="G359" s="9">
        <v>12725</v>
      </c>
      <c r="H359" s="9" t="s">
        <v>37</v>
      </c>
    </row>
    <row r="360" spans="1:8" ht="15" thickBot="1" x14ac:dyDescent="0.35">
      <c r="A360" s="12">
        <v>50359</v>
      </c>
      <c r="B360" s="6">
        <v>20725</v>
      </c>
      <c r="C360" s="6" t="s">
        <v>19</v>
      </c>
      <c r="D360" s="6">
        <v>14</v>
      </c>
      <c r="E360" s="7">
        <v>45441.381944444445</v>
      </c>
      <c r="F360" s="8">
        <v>1.48</v>
      </c>
      <c r="G360" s="6">
        <v>12310</v>
      </c>
      <c r="H360" s="6" t="s">
        <v>37</v>
      </c>
    </row>
    <row r="361" spans="1:8" ht="15" thickBot="1" x14ac:dyDescent="0.35">
      <c r="A361" s="13">
        <v>50360</v>
      </c>
      <c r="B361" s="9">
        <v>47566</v>
      </c>
      <c r="C361" s="9" t="s">
        <v>27</v>
      </c>
      <c r="D361" s="9">
        <v>23</v>
      </c>
      <c r="E361" s="10">
        <v>45629.442361111112</v>
      </c>
      <c r="F361" s="11">
        <v>4.8600000000000003</v>
      </c>
      <c r="G361" s="9">
        <v>12459</v>
      </c>
      <c r="H361" s="9" t="s">
        <v>20</v>
      </c>
    </row>
    <row r="362" spans="1:8" ht="15" thickBot="1" x14ac:dyDescent="0.35">
      <c r="A362" s="12">
        <v>50361</v>
      </c>
      <c r="B362" s="6">
        <v>23203</v>
      </c>
      <c r="C362" s="6" t="s">
        <v>30</v>
      </c>
      <c r="D362" s="6">
        <v>18</v>
      </c>
      <c r="E362" s="7">
        <v>45590.618055555555</v>
      </c>
      <c r="F362" s="8">
        <v>2.44</v>
      </c>
      <c r="G362" s="6">
        <v>12708</v>
      </c>
      <c r="H362" s="6" t="s">
        <v>26</v>
      </c>
    </row>
    <row r="363" spans="1:8" ht="15" thickBot="1" x14ac:dyDescent="0.35">
      <c r="A363" s="13">
        <v>50362</v>
      </c>
      <c r="B363" s="9" t="s">
        <v>15</v>
      </c>
      <c r="C363" s="9" t="s">
        <v>16</v>
      </c>
      <c r="D363" s="9">
        <v>23</v>
      </c>
      <c r="E363" s="10">
        <v>45310.588888888888</v>
      </c>
      <c r="F363" s="11">
        <v>3.06</v>
      </c>
      <c r="G363" s="9">
        <v>12653</v>
      </c>
      <c r="H363" s="9" t="s">
        <v>24</v>
      </c>
    </row>
    <row r="364" spans="1:8" ht="15" thickBot="1" x14ac:dyDescent="0.35">
      <c r="A364" s="12">
        <v>50363</v>
      </c>
      <c r="B364" s="6" t="s">
        <v>8</v>
      </c>
      <c r="C364" s="6" t="s">
        <v>9</v>
      </c>
      <c r="D364" s="6">
        <v>6</v>
      </c>
      <c r="E364" s="7">
        <v>45419.585416666669</v>
      </c>
      <c r="F364" s="8">
        <v>2.93</v>
      </c>
      <c r="G364" s="6">
        <v>12660</v>
      </c>
      <c r="H364" s="6" t="s">
        <v>26</v>
      </c>
    </row>
    <row r="365" spans="1:8" ht="15" thickBot="1" x14ac:dyDescent="0.35">
      <c r="A365" s="13">
        <v>50364</v>
      </c>
      <c r="B365" s="9">
        <v>22086</v>
      </c>
      <c r="C365" s="9" t="s">
        <v>41</v>
      </c>
      <c r="D365" s="9">
        <v>1</v>
      </c>
      <c r="E365" s="10">
        <v>45512.408333333333</v>
      </c>
      <c r="F365" s="11">
        <v>2.74</v>
      </c>
      <c r="G365" s="9">
        <v>12764</v>
      </c>
      <c r="H365" s="9" t="s">
        <v>10</v>
      </c>
    </row>
    <row r="366" spans="1:8" ht="15" thickBot="1" x14ac:dyDescent="0.35">
      <c r="A366" s="12">
        <v>50365</v>
      </c>
      <c r="B366" s="6" t="s">
        <v>15</v>
      </c>
      <c r="C366" s="6" t="s">
        <v>16</v>
      </c>
      <c r="D366" s="6">
        <v>8</v>
      </c>
      <c r="E366" s="7">
        <v>45589.742361111108</v>
      </c>
      <c r="F366" s="8">
        <v>2.91</v>
      </c>
      <c r="G366" s="6">
        <v>12790</v>
      </c>
      <c r="H366" s="6" t="s">
        <v>20</v>
      </c>
    </row>
    <row r="367" spans="1:8" ht="15" thickBot="1" x14ac:dyDescent="0.35">
      <c r="A367" s="13">
        <v>50366</v>
      </c>
      <c r="B367" s="9" t="s">
        <v>33</v>
      </c>
      <c r="C367" s="9" t="s">
        <v>34</v>
      </c>
      <c r="D367" s="9">
        <v>1</v>
      </c>
      <c r="E367" s="10">
        <v>45369.578472222223</v>
      </c>
      <c r="F367" s="11">
        <v>17.16</v>
      </c>
      <c r="G367" s="9">
        <v>12942</v>
      </c>
      <c r="H367" s="9" t="s">
        <v>24</v>
      </c>
    </row>
    <row r="368" spans="1:8" ht="15" thickBot="1" x14ac:dyDescent="0.35">
      <c r="A368" s="12">
        <v>50367</v>
      </c>
      <c r="B368" s="6" t="s">
        <v>8</v>
      </c>
      <c r="C368" s="6" t="s">
        <v>9</v>
      </c>
      <c r="D368" s="6">
        <v>10</v>
      </c>
      <c r="E368" s="7">
        <v>45364.580555555556</v>
      </c>
      <c r="F368" s="8">
        <v>3.81</v>
      </c>
      <c r="G368" s="6">
        <v>12533</v>
      </c>
      <c r="H368" s="6" t="s">
        <v>28</v>
      </c>
    </row>
    <row r="369" spans="1:8" ht="15" thickBot="1" x14ac:dyDescent="0.35">
      <c r="A369" s="13">
        <v>50368</v>
      </c>
      <c r="B369" s="9">
        <v>21212</v>
      </c>
      <c r="C369" s="9" t="s">
        <v>21</v>
      </c>
      <c r="D369" s="9">
        <v>15</v>
      </c>
      <c r="E369" s="10">
        <v>45535.402083333334</v>
      </c>
      <c r="F369" s="11">
        <v>0.55000000000000004</v>
      </c>
      <c r="G369" s="9">
        <v>12068</v>
      </c>
      <c r="H369" s="9" t="s">
        <v>22</v>
      </c>
    </row>
    <row r="370" spans="1:8" ht="15" thickBot="1" x14ac:dyDescent="0.35">
      <c r="A370" s="12">
        <v>50369</v>
      </c>
      <c r="B370" s="6">
        <v>71053</v>
      </c>
      <c r="C370" s="6" t="s">
        <v>38</v>
      </c>
      <c r="D370" s="6">
        <v>1</v>
      </c>
      <c r="E370" s="7">
        <v>45655.414583333331</v>
      </c>
      <c r="F370" s="8">
        <v>3.65</v>
      </c>
      <c r="G370" s="6">
        <v>12693</v>
      </c>
      <c r="H370" s="6" t="s">
        <v>23</v>
      </c>
    </row>
    <row r="371" spans="1:8" ht="15" thickBot="1" x14ac:dyDescent="0.35">
      <c r="A371" s="13">
        <v>50370</v>
      </c>
      <c r="B371" s="9">
        <v>22423</v>
      </c>
      <c r="C371" s="9" t="s">
        <v>36</v>
      </c>
      <c r="D371" s="9">
        <v>18</v>
      </c>
      <c r="E371" s="10">
        <v>45556.456944444442</v>
      </c>
      <c r="F371" s="11">
        <v>13.34</v>
      </c>
      <c r="G371" s="9">
        <v>12981</v>
      </c>
      <c r="H371" s="9" t="s">
        <v>28</v>
      </c>
    </row>
    <row r="372" spans="1:8" ht="15" thickBot="1" x14ac:dyDescent="0.35">
      <c r="A372" s="12">
        <v>50371</v>
      </c>
      <c r="B372" s="6">
        <v>22423</v>
      </c>
      <c r="C372" s="6" t="s">
        <v>36</v>
      </c>
      <c r="D372" s="6">
        <v>6</v>
      </c>
      <c r="E372" s="7">
        <v>45499.463888888888</v>
      </c>
      <c r="F372" s="8">
        <v>12.77</v>
      </c>
      <c r="G372" s="6">
        <v>12029</v>
      </c>
      <c r="H372" s="6" t="s">
        <v>20</v>
      </c>
    </row>
    <row r="373" spans="1:8" ht="15" thickBot="1" x14ac:dyDescent="0.35">
      <c r="A373" s="13" t="s">
        <v>71</v>
      </c>
      <c r="B373" s="9">
        <v>22727</v>
      </c>
      <c r="C373" s="9" t="s">
        <v>46</v>
      </c>
      <c r="D373" s="9">
        <v>-4</v>
      </c>
      <c r="E373" s="10">
        <v>45522.638194444444</v>
      </c>
      <c r="F373" s="11">
        <v>3.46</v>
      </c>
      <c r="G373" s="9">
        <v>12770</v>
      </c>
      <c r="H373" s="9" t="s">
        <v>24</v>
      </c>
    </row>
    <row r="374" spans="1:8" ht="15" thickBot="1" x14ac:dyDescent="0.35">
      <c r="A374" s="12">
        <v>50373</v>
      </c>
      <c r="B374" s="6" t="s">
        <v>43</v>
      </c>
      <c r="C374" s="6" t="s">
        <v>44</v>
      </c>
      <c r="D374" s="6">
        <v>6</v>
      </c>
      <c r="E374" s="7">
        <v>45344.714583333334</v>
      </c>
      <c r="F374" s="8">
        <v>1.1499999999999999</v>
      </c>
      <c r="G374" s="6">
        <v>12116</v>
      </c>
      <c r="H374" s="6" t="s">
        <v>22</v>
      </c>
    </row>
    <row r="375" spans="1:8" ht="15" thickBot="1" x14ac:dyDescent="0.35">
      <c r="A375" s="13">
        <v>50374</v>
      </c>
      <c r="B375" s="9">
        <v>23203</v>
      </c>
      <c r="C375" s="9" t="s">
        <v>30</v>
      </c>
      <c r="D375" s="9">
        <v>20</v>
      </c>
      <c r="E375" s="10">
        <v>45562.555555555555</v>
      </c>
      <c r="F375" s="11">
        <v>2.0499999999999998</v>
      </c>
      <c r="G375" s="9">
        <v>12116</v>
      </c>
      <c r="H375" s="9" t="s">
        <v>18</v>
      </c>
    </row>
    <row r="376" spans="1:8" ht="15" thickBot="1" x14ac:dyDescent="0.35">
      <c r="A376" s="12">
        <v>50375</v>
      </c>
      <c r="B376" s="6">
        <v>21212</v>
      </c>
      <c r="C376" s="6" t="s">
        <v>21</v>
      </c>
      <c r="D376" s="6">
        <v>22</v>
      </c>
      <c r="E376" s="7">
        <v>45526.455555555556</v>
      </c>
      <c r="F376" s="8">
        <v>0.52</v>
      </c>
      <c r="G376" s="6">
        <v>12629</v>
      </c>
      <c r="H376" s="6" t="s">
        <v>20</v>
      </c>
    </row>
    <row r="377" spans="1:8" ht="15" thickBot="1" x14ac:dyDescent="0.35">
      <c r="A377" s="13">
        <v>50376</v>
      </c>
      <c r="B377" s="9" t="s">
        <v>12</v>
      </c>
      <c r="C377" s="9" t="s">
        <v>13</v>
      </c>
      <c r="D377" s="9">
        <v>11</v>
      </c>
      <c r="E377" s="10">
        <v>45636.428472222222</v>
      </c>
      <c r="F377" s="11">
        <v>2.63</v>
      </c>
      <c r="G377" s="9">
        <v>12187</v>
      </c>
      <c r="H377" s="9" t="s">
        <v>18</v>
      </c>
    </row>
    <row r="378" spans="1:8" ht="15" thickBot="1" x14ac:dyDescent="0.35">
      <c r="A378" s="12">
        <v>50377</v>
      </c>
      <c r="B378" s="6">
        <v>84879</v>
      </c>
      <c r="C378" s="6" t="s">
        <v>45</v>
      </c>
      <c r="D378" s="6">
        <v>14</v>
      </c>
      <c r="E378" s="7">
        <v>45553.609027777777</v>
      </c>
      <c r="F378" s="8">
        <v>1.78</v>
      </c>
      <c r="G378" s="6">
        <v>12433</v>
      </c>
      <c r="H378" s="6" t="s">
        <v>23</v>
      </c>
    </row>
    <row r="379" spans="1:8" ht="15" thickBot="1" x14ac:dyDescent="0.35">
      <c r="A379" s="13">
        <v>50378</v>
      </c>
      <c r="B379" s="9">
        <v>23203</v>
      </c>
      <c r="C379" s="9" t="s">
        <v>30</v>
      </c>
      <c r="D379" s="9">
        <v>23</v>
      </c>
      <c r="E379" s="10">
        <v>45617.715277777781</v>
      </c>
      <c r="F379" s="11">
        <v>2.4500000000000002</v>
      </c>
      <c r="G379" s="9">
        <v>12177</v>
      </c>
      <c r="H379" s="9" t="s">
        <v>10</v>
      </c>
    </row>
    <row r="380" spans="1:8" ht="15" thickBot="1" x14ac:dyDescent="0.35">
      <c r="A380" s="12">
        <v>50379</v>
      </c>
      <c r="B380" s="6">
        <v>22720</v>
      </c>
      <c r="C380" s="6" t="s">
        <v>17</v>
      </c>
      <c r="D380" s="6">
        <v>5</v>
      </c>
      <c r="E380" s="7">
        <v>45542.538194444445</v>
      </c>
      <c r="F380" s="8">
        <v>5.67</v>
      </c>
      <c r="G380" s="6">
        <v>12634</v>
      </c>
      <c r="H380" s="6" t="s">
        <v>14</v>
      </c>
    </row>
    <row r="381" spans="1:8" ht="15" thickBot="1" x14ac:dyDescent="0.35">
      <c r="A381" s="13">
        <v>50380</v>
      </c>
      <c r="B381" s="9">
        <v>21212</v>
      </c>
      <c r="C381" s="9" t="s">
        <v>21</v>
      </c>
      <c r="D381" s="9">
        <v>5</v>
      </c>
      <c r="E381" s="10">
        <v>45296.677777777775</v>
      </c>
      <c r="F381" s="11">
        <v>0.54</v>
      </c>
      <c r="G381" s="9">
        <v>12575</v>
      </c>
      <c r="H381" s="9" t="s">
        <v>10</v>
      </c>
    </row>
    <row r="382" spans="1:8" ht="15" thickBot="1" x14ac:dyDescent="0.35">
      <c r="A382" s="12">
        <v>50381</v>
      </c>
      <c r="B382" s="6">
        <v>23203</v>
      </c>
      <c r="C382" s="6" t="s">
        <v>30</v>
      </c>
      <c r="D382" s="6">
        <v>14</v>
      </c>
      <c r="E382" s="7">
        <v>45501.682638888888</v>
      </c>
      <c r="F382" s="8">
        <v>2.09</v>
      </c>
      <c r="G382" s="6">
        <v>12171</v>
      </c>
      <c r="H382" s="6" t="s">
        <v>24</v>
      </c>
    </row>
    <row r="383" spans="1:8" ht="15" thickBot="1" x14ac:dyDescent="0.35">
      <c r="A383" s="13" t="s">
        <v>72</v>
      </c>
      <c r="B383" s="9" t="s">
        <v>43</v>
      </c>
      <c r="C383" s="9" t="s">
        <v>44</v>
      </c>
      <c r="D383" s="9">
        <v>-4</v>
      </c>
      <c r="E383" s="10">
        <v>45307.489583333336</v>
      </c>
      <c r="F383" s="11">
        <v>1.3</v>
      </c>
      <c r="G383" s="9">
        <v>12172</v>
      </c>
      <c r="H383" s="9" t="s">
        <v>28</v>
      </c>
    </row>
    <row r="384" spans="1:8" ht="15" thickBot="1" x14ac:dyDescent="0.35">
      <c r="A384" s="12">
        <v>50383</v>
      </c>
      <c r="B384" s="6" t="s">
        <v>43</v>
      </c>
      <c r="C384" s="6" t="s">
        <v>44</v>
      </c>
      <c r="D384" s="6">
        <v>17</v>
      </c>
      <c r="E384" s="7">
        <v>45545.723611111112</v>
      </c>
      <c r="F384" s="8">
        <v>1.1100000000000001</v>
      </c>
      <c r="G384" s="6">
        <v>12793</v>
      </c>
      <c r="H384" s="6" t="s">
        <v>10</v>
      </c>
    </row>
    <row r="385" spans="1:8" ht="15" thickBot="1" x14ac:dyDescent="0.35">
      <c r="A385" s="13">
        <v>50384</v>
      </c>
      <c r="B385" s="9">
        <v>21212</v>
      </c>
      <c r="C385" s="9" t="s">
        <v>21</v>
      </c>
      <c r="D385" s="9">
        <v>24</v>
      </c>
      <c r="E385" s="10">
        <v>45569.362500000003</v>
      </c>
      <c r="F385" s="11">
        <v>0.51</v>
      </c>
      <c r="G385" s="9">
        <v>12435</v>
      </c>
      <c r="H385" s="9" t="s">
        <v>24</v>
      </c>
    </row>
    <row r="386" spans="1:8" ht="15" thickBot="1" x14ac:dyDescent="0.35">
      <c r="A386" s="12">
        <v>50385</v>
      </c>
      <c r="B386" s="6">
        <v>22423</v>
      </c>
      <c r="C386" s="6" t="s">
        <v>36</v>
      </c>
      <c r="D386" s="6">
        <v>15</v>
      </c>
      <c r="E386" s="7">
        <v>45444.356249999997</v>
      </c>
      <c r="F386" s="8">
        <v>14.69</v>
      </c>
      <c r="G386" s="6">
        <v>12089</v>
      </c>
      <c r="H386" s="6" t="s">
        <v>28</v>
      </c>
    </row>
    <row r="387" spans="1:8" ht="15" thickBot="1" x14ac:dyDescent="0.35">
      <c r="A387" s="13">
        <v>50386</v>
      </c>
      <c r="B387" s="9" t="s">
        <v>8</v>
      </c>
      <c r="C387" s="9" t="s">
        <v>9</v>
      </c>
      <c r="D387" s="9">
        <v>24</v>
      </c>
      <c r="E387" s="10">
        <v>45413.481944444444</v>
      </c>
      <c r="F387" s="11">
        <v>3.3</v>
      </c>
      <c r="G387" s="9">
        <v>12727</v>
      </c>
      <c r="H387" s="9" t="s">
        <v>20</v>
      </c>
    </row>
    <row r="388" spans="1:8" ht="15" thickBot="1" x14ac:dyDescent="0.35">
      <c r="A388" s="12">
        <v>50387</v>
      </c>
      <c r="B388" s="6" t="s">
        <v>39</v>
      </c>
      <c r="C388" s="6" t="s">
        <v>40</v>
      </c>
      <c r="D388" s="6">
        <v>7</v>
      </c>
      <c r="E388" s="7">
        <v>45376.431944444441</v>
      </c>
      <c r="F388" s="8">
        <v>2.35</v>
      </c>
      <c r="G388" s="6">
        <v>12583</v>
      </c>
      <c r="H388" s="6" t="s">
        <v>18</v>
      </c>
    </row>
    <row r="389" spans="1:8" ht="15" thickBot="1" x14ac:dyDescent="0.35">
      <c r="A389" s="13">
        <v>50388</v>
      </c>
      <c r="B389" s="9" t="s">
        <v>15</v>
      </c>
      <c r="C389" s="9" t="s">
        <v>16</v>
      </c>
      <c r="D389" s="9">
        <v>6</v>
      </c>
      <c r="E389" s="10">
        <v>45435.71597222222</v>
      </c>
      <c r="F389" s="11">
        <v>3.23</v>
      </c>
      <c r="G389" s="9">
        <v>12296</v>
      </c>
      <c r="H389" s="9" t="s">
        <v>20</v>
      </c>
    </row>
    <row r="390" spans="1:8" ht="15" thickBot="1" x14ac:dyDescent="0.35">
      <c r="A390" s="12">
        <v>50389</v>
      </c>
      <c r="B390" s="6">
        <v>47566</v>
      </c>
      <c r="C390" s="6" t="s">
        <v>27</v>
      </c>
      <c r="D390" s="6">
        <v>5</v>
      </c>
      <c r="E390" s="7">
        <v>45555.400694444441</v>
      </c>
      <c r="F390" s="8">
        <v>5.57</v>
      </c>
      <c r="G390" s="6">
        <v>12940</v>
      </c>
      <c r="H390" s="6" t="s">
        <v>14</v>
      </c>
    </row>
    <row r="391" spans="1:8" ht="15" thickBot="1" x14ac:dyDescent="0.35">
      <c r="A391" s="13">
        <v>50390</v>
      </c>
      <c r="B391" s="9">
        <v>47566</v>
      </c>
      <c r="C391" s="9" t="s">
        <v>27</v>
      </c>
      <c r="D391" s="9">
        <v>23</v>
      </c>
      <c r="E391" s="10">
        <v>45627.42291666667</v>
      </c>
      <c r="F391" s="11">
        <v>4.6399999999999997</v>
      </c>
      <c r="G391" s="9">
        <v>12728</v>
      </c>
      <c r="H391" s="9" t="s">
        <v>18</v>
      </c>
    </row>
    <row r="392" spans="1:8" ht="15" thickBot="1" x14ac:dyDescent="0.35">
      <c r="A392" s="12">
        <v>50391</v>
      </c>
      <c r="B392" s="6">
        <v>22423</v>
      </c>
      <c r="C392" s="6" t="s">
        <v>36</v>
      </c>
      <c r="D392" s="6">
        <v>16</v>
      </c>
      <c r="E392" s="7">
        <v>45638.612500000003</v>
      </c>
      <c r="F392" s="8">
        <v>13.66</v>
      </c>
      <c r="G392" s="6">
        <v>12642</v>
      </c>
      <c r="H392" s="6" t="s">
        <v>26</v>
      </c>
    </row>
    <row r="393" spans="1:8" ht="15" thickBot="1" x14ac:dyDescent="0.35">
      <c r="A393" s="13">
        <v>50392</v>
      </c>
      <c r="B393" s="9">
        <v>22386</v>
      </c>
      <c r="C393" s="9" t="s">
        <v>29</v>
      </c>
      <c r="D393" s="9">
        <v>21</v>
      </c>
      <c r="E393" s="10">
        <v>45523.386805555558</v>
      </c>
      <c r="F393" s="11">
        <v>2.1800000000000002</v>
      </c>
      <c r="G393" s="9">
        <v>12412</v>
      </c>
      <c r="H393" s="9" t="s">
        <v>10</v>
      </c>
    </row>
    <row r="394" spans="1:8" ht="15" thickBot="1" x14ac:dyDescent="0.35">
      <c r="A394" s="12">
        <v>50393</v>
      </c>
      <c r="B394" s="6">
        <v>47566</v>
      </c>
      <c r="C394" s="6" t="s">
        <v>27</v>
      </c>
      <c r="D394" s="6">
        <v>15</v>
      </c>
      <c r="E394" s="7">
        <v>45647.595138888886</v>
      </c>
      <c r="F394" s="8">
        <v>4.7699999999999996</v>
      </c>
      <c r="G394" s="6">
        <v>12002</v>
      </c>
      <c r="H394" s="6" t="s">
        <v>24</v>
      </c>
    </row>
    <row r="395" spans="1:8" ht="15" thickBot="1" x14ac:dyDescent="0.35">
      <c r="A395" s="13">
        <v>50394</v>
      </c>
      <c r="B395" s="9">
        <v>20725</v>
      </c>
      <c r="C395" s="9" t="s">
        <v>19</v>
      </c>
      <c r="D395" s="9">
        <v>3</v>
      </c>
      <c r="E395" s="10">
        <v>45617.587500000001</v>
      </c>
      <c r="F395" s="11">
        <v>1.63</v>
      </c>
      <c r="G395" s="9">
        <v>12991</v>
      </c>
      <c r="H395" s="9" t="s">
        <v>26</v>
      </c>
    </row>
    <row r="396" spans="1:8" ht="15" thickBot="1" x14ac:dyDescent="0.35">
      <c r="A396" s="12">
        <v>50395</v>
      </c>
      <c r="B396" s="6">
        <v>22727</v>
      </c>
      <c r="C396" s="6" t="s">
        <v>46</v>
      </c>
      <c r="D396" s="6">
        <v>11</v>
      </c>
      <c r="E396" s="7">
        <v>45545.523611111108</v>
      </c>
      <c r="F396" s="8">
        <v>3.63</v>
      </c>
      <c r="G396" s="6">
        <v>12591</v>
      </c>
      <c r="H396" s="6" t="s">
        <v>23</v>
      </c>
    </row>
    <row r="397" spans="1:8" ht="15" thickBot="1" x14ac:dyDescent="0.35">
      <c r="A397" s="13">
        <v>50396</v>
      </c>
      <c r="B397" s="9" t="s">
        <v>43</v>
      </c>
      <c r="C397" s="9" t="s">
        <v>44</v>
      </c>
      <c r="D397" s="9">
        <v>22</v>
      </c>
      <c r="E397" s="10">
        <v>45540.57708333333</v>
      </c>
      <c r="F397" s="11">
        <v>1.08</v>
      </c>
      <c r="G397" s="9">
        <v>12641</v>
      </c>
      <c r="H397" s="9" t="s">
        <v>28</v>
      </c>
    </row>
    <row r="398" spans="1:8" ht="15" thickBot="1" x14ac:dyDescent="0.35">
      <c r="A398" s="12">
        <v>50397</v>
      </c>
      <c r="B398" s="6" t="s">
        <v>31</v>
      </c>
      <c r="C398" s="6" t="s">
        <v>32</v>
      </c>
      <c r="D398" s="6">
        <v>15</v>
      </c>
      <c r="E398" s="7">
        <v>45355.445138888892</v>
      </c>
      <c r="F398" s="8">
        <v>3.05</v>
      </c>
      <c r="G398" s="6">
        <v>12438</v>
      </c>
      <c r="H398" s="6" t="s">
        <v>37</v>
      </c>
    </row>
    <row r="399" spans="1:8" ht="15" thickBot="1" x14ac:dyDescent="0.35">
      <c r="A399" s="13">
        <v>50398</v>
      </c>
      <c r="B399" s="9">
        <v>84879</v>
      </c>
      <c r="C399" s="9" t="s">
        <v>45</v>
      </c>
      <c r="D399" s="9">
        <v>6</v>
      </c>
      <c r="E399" s="10">
        <v>45624.54791666667</v>
      </c>
      <c r="F399" s="11">
        <v>1.96</v>
      </c>
      <c r="G399" s="9">
        <v>12095</v>
      </c>
      <c r="H399" s="9" t="s">
        <v>18</v>
      </c>
    </row>
    <row r="400" spans="1:8" ht="15" thickBot="1" x14ac:dyDescent="0.35">
      <c r="A400" s="12">
        <v>50399</v>
      </c>
      <c r="B400" s="6">
        <v>47566</v>
      </c>
      <c r="C400" s="6" t="s">
        <v>27</v>
      </c>
      <c r="D400" s="6">
        <v>22</v>
      </c>
      <c r="E400" s="7">
        <v>45334.597222222219</v>
      </c>
      <c r="F400" s="8">
        <v>4.49</v>
      </c>
      <c r="G400" s="6">
        <v>12405</v>
      </c>
      <c r="H400" s="6" t="s">
        <v>22</v>
      </c>
    </row>
    <row r="401" spans="1:8" ht="15" thickBot="1" x14ac:dyDescent="0.35">
      <c r="A401" s="13">
        <v>50400</v>
      </c>
      <c r="B401" s="9">
        <v>22423</v>
      </c>
      <c r="C401" s="9" t="s">
        <v>36</v>
      </c>
      <c r="D401" s="9">
        <v>23</v>
      </c>
      <c r="E401" s="10">
        <v>45511.397916666669</v>
      </c>
      <c r="F401" s="11">
        <v>11.79</v>
      </c>
      <c r="G401" s="9">
        <v>12079</v>
      </c>
      <c r="H401" s="9" t="s">
        <v>23</v>
      </c>
    </row>
    <row r="402" spans="1:8" ht="15" thickBot="1" x14ac:dyDescent="0.35">
      <c r="A402" s="12">
        <v>50401</v>
      </c>
      <c r="B402" s="6" t="s">
        <v>43</v>
      </c>
      <c r="C402" s="6" t="s">
        <v>44</v>
      </c>
      <c r="D402" s="6">
        <v>22</v>
      </c>
      <c r="E402" s="7">
        <v>45407.70208333333</v>
      </c>
      <c r="F402" s="8">
        <v>1.07</v>
      </c>
      <c r="G402" s="6">
        <v>12351</v>
      </c>
      <c r="H402" s="6" t="s">
        <v>24</v>
      </c>
    </row>
    <row r="403" spans="1:8" ht="15" thickBot="1" x14ac:dyDescent="0.35">
      <c r="A403" s="13">
        <v>50402</v>
      </c>
      <c r="B403" s="9" t="s">
        <v>39</v>
      </c>
      <c r="C403" s="9" t="s">
        <v>40</v>
      </c>
      <c r="D403" s="9">
        <v>16</v>
      </c>
      <c r="E403" s="10">
        <v>45647.427083333336</v>
      </c>
      <c r="F403" s="11">
        <v>2.0499999999999998</v>
      </c>
      <c r="G403" s="9">
        <v>12748</v>
      </c>
      <c r="H403" s="9" t="s">
        <v>24</v>
      </c>
    </row>
    <row r="404" spans="1:8" ht="15" thickBot="1" x14ac:dyDescent="0.35">
      <c r="A404" s="12">
        <v>50403</v>
      </c>
      <c r="B404" s="6" t="s">
        <v>8</v>
      </c>
      <c r="C404" s="6" t="s">
        <v>9</v>
      </c>
      <c r="D404" s="6">
        <v>10</v>
      </c>
      <c r="E404" s="7">
        <v>45452.594444444447</v>
      </c>
      <c r="F404" s="8">
        <v>3.8</v>
      </c>
      <c r="G404" s="6">
        <v>12771</v>
      </c>
      <c r="H404" s="6" t="s">
        <v>23</v>
      </c>
    </row>
    <row r="405" spans="1:8" ht="15" thickBot="1" x14ac:dyDescent="0.35">
      <c r="A405" s="13" t="s">
        <v>73</v>
      </c>
      <c r="B405" s="9">
        <v>84879</v>
      </c>
      <c r="C405" s="9" t="s">
        <v>45</v>
      </c>
      <c r="D405" s="9">
        <v>-3</v>
      </c>
      <c r="E405" s="10">
        <v>45327.710416666669</v>
      </c>
      <c r="F405" s="11">
        <v>1.7</v>
      </c>
      <c r="G405" s="9">
        <v>12739</v>
      </c>
      <c r="H405" s="9" t="s">
        <v>37</v>
      </c>
    </row>
    <row r="406" spans="1:8" ht="15" thickBot="1" x14ac:dyDescent="0.35">
      <c r="A406" s="12">
        <v>50405</v>
      </c>
      <c r="B406" s="6">
        <v>84879</v>
      </c>
      <c r="C406" s="6" t="s">
        <v>45</v>
      </c>
      <c r="D406" s="6">
        <v>7</v>
      </c>
      <c r="E406" s="7">
        <v>45502.647916666669</v>
      </c>
      <c r="F406" s="8">
        <v>1.5</v>
      </c>
      <c r="G406" s="6">
        <v>12770</v>
      </c>
      <c r="H406" s="6" t="s">
        <v>24</v>
      </c>
    </row>
    <row r="407" spans="1:8" ht="15" thickBot="1" x14ac:dyDescent="0.35">
      <c r="A407" s="13">
        <v>50406</v>
      </c>
      <c r="B407" s="9" t="s">
        <v>43</v>
      </c>
      <c r="C407" s="9" t="s">
        <v>44</v>
      </c>
      <c r="D407" s="9">
        <v>14</v>
      </c>
      <c r="E407" s="10">
        <v>45488.582638888889</v>
      </c>
      <c r="F407" s="11">
        <v>1.1200000000000001</v>
      </c>
      <c r="G407" s="9">
        <v>12283</v>
      </c>
      <c r="H407" s="9" t="s">
        <v>24</v>
      </c>
    </row>
    <row r="408" spans="1:8" ht="15" thickBot="1" x14ac:dyDescent="0.35">
      <c r="A408" s="12" t="s">
        <v>74</v>
      </c>
      <c r="B408" s="6">
        <v>22423</v>
      </c>
      <c r="C408" s="6" t="s">
        <v>36</v>
      </c>
      <c r="D408" s="6">
        <v>-5</v>
      </c>
      <c r="E408" s="7">
        <v>45575.535416666666</v>
      </c>
      <c r="F408" s="8">
        <v>11.75</v>
      </c>
      <c r="G408" s="6">
        <v>12621</v>
      </c>
      <c r="H408" s="6" t="s">
        <v>10</v>
      </c>
    </row>
    <row r="409" spans="1:8" ht="15" thickBot="1" x14ac:dyDescent="0.35">
      <c r="A409" s="13" t="s">
        <v>75</v>
      </c>
      <c r="B409" s="9">
        <v>22727</v>
      </c>
      <c r="C409" s="9" t="s">
        <v>46</v>
      </c>
      <c r="D409" s="9">
        <v>-4</v>
      </c>
      <c r="E409" s="10">
        <v>45492.543055555558</v>
      </c>
      <c r="F409" s="11">
        <v>3.84</v>
      </c>
      <c r="G409" s="9">
        <v>12115</v>
      </c>
      <c r="H409" s="9" t="s">
        <v>37</v>
      </c>
    </row>
    <row r="410" spans="1:8" ht="15" thickBot="1" x14ac:dyDescent="0.35">
      <c r="A410" s="12">
        <v>50409</v>
      </c>
      <c r="B410" s="6">
        <v>23203</v>
      </c>
      <c r="C410" s="6" t="s">
        <v>30</v>
      </c>
      <c r="D410" s="6">
        <v>17</v>
      </c>
      <c r="E410" s="7">
        <v>45618.383333333331</v>
      </c>
      <c r="F410" s="8">
        <v>1.78</v>
      </c>
      <c r="G410" s="6">
        <v>12369</v>
      </c>
      <c r="H410" s="6" t="s">
        <v>18</v>
      </c>
    </row>
    <row r="411" spans="1:8" ht="15" thickBot="1" x14ac:dyDescent="0.35">
      <c r="A411" s="13">
        <v>50410</v>
      </c>
      <c r="B411" s="9">
        <v>84879</v>
      </c>
      <c r="C411" s="9" t="s">
        <v>45</v>
      </c>
      <c r="D411" s="9">
        <v>14</v>
      </c>
      <c r="E411" s="10">
        <v>45490.737500000003</v>
      </c>
      <c r="F411" s="11">
        <v>1.84</v>
      </c>
      <c r="G411" s="9">
        <v>12781</v>
      </c>
      <c r="H411" s="9" t="s">
        <v>28</v>
      </c>
    </row>
    <row r="412" spans="1:8" ht="15" thickBot="1" x14ac:dyDescent="0.35">
      <c r="A412" s="12">
        <v>50411</v>
      </c>
      <c r="B412" s="6" t="s">
        <v>12</v>
      </c>
      <c r="C412" s="6" t="s">
        <v>13</v>
      </c>
      <c r="D412" s="6">
        <v>1</v>
      </c>
      <c r="E412" s="7">
        <v>45300.381249999999</v>
      </c>
      <c r="F412" s="8">
        <v>2.38</v>
      </c>
      <c r="G412" s="6">
        <v>12061</v>
      </c>
      <c r="H412" s="6" t="s">
        <v>26</v>
      </c>
    </row>
    <row r="413" spans="1:8" ht="15" thickBot="1" x14ac:dyDescent="0.35">
      <c r="A413" s="13">
        <v>50412</v>
      </c>
      <c r="B413" s="9" t="s">
        <v>33</v>
      </c>
      <c r="C413" s="9" t="s">
        <v>34</v>
      </c>
      <c r="D413" s="9">
        <v>14</v>
      </c>
      <c r="E413" s="10">
        <v>45438.689583333333</v>
      </c>
      <c r="F413" s="11">
        <v>17.829999999999998</v>
      </c>
      <c r="G413" s="9">
        <v>12655</v>
      </c>
      <c r="H413" s="9" t="s">
        <v>10</v>
      </c>
    </row>
    <row r="414" spans="1:8" ht="15" thickBot="1" x14ac:dyDescent="0.35">
      <c r="A414" s="12">
        <v>50413</v>
      </c>
      <c r="B414" s="6" t="s">
        <v>15</v>
      </c>
      <c r="C414" s="6" t="s">
        <v>16</v>
      </c>
      <c r="D414" s="6">
        <v>9</v>
      </c>
      <c r="E414" s="7">
        <v>45607.441666666666</v>
      </c>
      <c r="F414" s="8">
        <v>2.59</v>
      </c>
      <c r="G414" s="6">
        <v>12943</v>
      </c>
      <c r="H414" s="6" t="s">
        <v>37</v>
      </c>
    </row>
    <row r="415" spans="1:8" ht="15" thickBot="1" x14ac:dyDescent="0.35">
      <c r="A415" s="13">
        <v>50414</v>
      </c>
      <c r="B415" s="9">
        <v>84879</v>
      </c>
      <c r="C415" s="9" t="s">
        <v>45</v>
      </c>
      <c r="D415" s="9">
        <v>13</v>
      </c>
      <c r="E415" s="10">
        <v>45566.56527777778</v>
      </c>
      <c r="F415" s="11">
        <v>1.89</v>
      </c>
      <c r="G415" s="9">
        <v>12665</v>
      </c>
      <c r="H415" s="9" t="s">
        <v>24</v>
      </c>
    </row>
    <row r="416" spans="1:8" ht="15" thickBot="1" x14ac:dyDescent="0.35">
      <c r="A416" s="12">
        <v>50415</v>
      </c>
      <c r="B416" s="6">
        <v>22960</v>
      </c>
      <c r="C416" s="6" t="s">
        <v>49</v>
      </c>
      <c r="D416" s="6">
        <v>24</v>
      </c>
      <c r="E416" s="7">
        <v>45649.643750000003</v>
      </c>
      <c r="F416" s="8">
        <v>3.97</v>
      </c>
      <c r="G416" s="6">
        <v>12250</v>
      </c>
      <c r="H416" s="6" t="s">
        <v>24</v>
      </c>
    </row>
    <row r="417" spans="1:8" ht="15" thickBot="1" x14ac:dyDescent="0.35">
      <c r="A417" s="13">
        <v>50416</v>
      </c>
      <c r="B417" s="9" t="s">
        <v>39</v>
      </c>
      <c r="C417" s="9" t="s">
        <v>40</v>
      </c>
      <c r="D417" s="9">
        <v>20</v>
      </c>
      <c r="E417" s="10">
        <v>45351.655555555553</v>
      </c>
      <c r="F417" s="11">
        <v>1.99</v>
      </c>
      <c r="G417" s="9">
        <v>12759</v>
      </c>
      <c r="H417" s="9" t="s">
        <v>23</v>
      </c>
    </row>
    <row r="418" spans="1:8" ht="15" thickBot="1" x14ac:dyDescent="0.35">
      <c r="A418" s="12" t="s">
        <v>76</v>
      </c>
      <c r="B418" s="6" t="s">
        <v>8</v>
      </c>
      <c r="C418" s="6" t="s">
        <v>9</v>
      </c>
      <c r="D418" s="6">
        <v>-8</v>
      </c>
      <c r="E418" s="7">
        <v>45298.430555555555</v>
      </c>
      <c r="F418" s="8">
        <v>4.01</v>
      </c>
      <c r="G418" s="6">
        <v>12535</v>
      </c>
      <c r="H418" s="6" t="s">
        <v>10</v>
      </c>
    </row>
    <row r="419" spans="1:8" ht="15" thickBot="1" x14ac:dyDescent="0.35">
      <c r="A419" s="13">
        <v>50418</v>
      </c>
      <c r="B419" s="9">
        <v>47566</v>
      </c>
      <c r="C419" s="9" t="s">
        <v>27</v>
      </c>
      <c r="D419" s="9">
        <v>5</v>
      </c>
      <c r="E419" s="10">
        <v>45377.597222222219</v>
      </c>
      <c r="F419" s="11">
        <v>5.72</v>
      </c>
      <c r="G419" s="9">
        <v>12750</v>
      </c>
      <c r="H419" s="9" t="s">
        <v>24</v>
      </c>
    </row>
    <row r="420" spans="1:8" ht="15" thickBot="1" x14ac:dyDescent="0.35">
      <c r="A420" s="12">
        <v>50419</v>
      </c>
      <c r="B420" s="6" t="s">
        <v>31</v>
      </c>
      <c r="C420" s="6" t="s">
        <v>32</v>
      </c>
      <c r="D420" s="6">
        <v>9</v>
      </c>
      <c r="E420" s="7">
        <v>45463.638194444444</v>
      </c>
      <c r="F420" s="8">
        <v>2.4</v>
      </c>
      <c r="G420" s="6">
        <v>12998</v>
      </c>
      <c r="H420" s="6" t="s">
        <v>20</v>
      </c>
    </row>
    <row r="421" spans="1:8" ht="15" thickBot="1" x14ac:dyDescent="0.35">
      <c r="A421" s="13">
        <v>50420</v>
      </c>
      <c r="B421" s="9" t="s">
        <v>12</v>
      </c>
      <c r="C421" s="9" t="s">
        <v>13</v>
      </c>
      <c r="D421" s="9">
        <v>17</v>
      </c>
      <c r="E421" s="10">
        <v>45546.656944444447</v>
      </c>
      <c r="F421" s="11">
        <v>2.82</v>
      </c>
      <c r="G421" s="9">
        <v>12580</v>
      </c>
      <c r="H421" s="9" t="s">
        <v>23</v>
      </c>
    </row>
    <row r="422" spans="1:8" ht="15" thickBot="1" x14ac:dyDescent="0.35">
      <c r="A422" s="12">
        <v>50421</v>
      </c>
      <c r="B422" s="6">
        <v>21212</v>
      </c>
      <c r="C422" s="6" t="s">
        <v>21</v>
      </c>
      <c r="D422" s="6">
        <v>4</v>
      </c>
      <c r="E422" s="7">
        <v>45372.51458333333</v>
      </c>
      <c r="F422" s="8">
        <v>0.6</v>
      </c>
      <c r="G422" s="6">
        <v>12118</v>
      </c>
      <c r="H422" s="6" t="s">
        <v>37</v>
      </c>
    </row>
    <row r="423" spans="1:8" ht="15" thickBot="1" x14ac:dyDescent="0.35">
      <c r="A423" s="13">
        <v>50422</v>
      </c>
      <c r="B423" s="9" t="s">
        <v>33</v>
      </c>
      <c r="C423" s="9" t="s">
        <v>34</v>
      </c>
      <c r="D423" s="9">
        <v>1</v>
      </c>
      <c r="E423" s="10">
        <v>45293.364583333336</v>
      </c>
      <c r="F423" s="11">
        <v>18.27</v>
      </c>
      <c r="G423" s="9">
        <v>12392</v>
      </c>
      <c r="H423" s="9" t="s">
        <v>23</v>
      </c>
    </row>
    <row r="424" spans="1:8" ht="15" thickBot="1" x14ac:dyDescent="0.35">
      <c r="A424" s="12">
        <v>50423</v>
      </c>
      <c r="B424" s="6">
        <v>22720</v>
      </c>
      <c r="C424" s="6" t="s">
        <v>17</v>
      </c>
      <c r="D424" s="6">
        <v>23</v>
      </c>
      <c r="E424" s="7">
        <v>45310.726388888892</v>
      </c>
      <c r="F424" s="8">
        <v>4.93</v>
      </c>
      <c r="G424" s="6">
        <v>12329</v>
      </c>
      <c r="H424" s="6" t="s">
        <v>37</v>
      </c>
    </row>
    <row r="425" spans="1:8" ht="15" thickBot="1" x14ac:dyDescent="0.35">
      <c r="A425" s="13">
        <v>50424</v>
      </c>
      <c r="B425" s="9" t="s">
        <v>39</v>
      </c>
      <c r="C425" s="9" t="s">
        <v>40</v>
      </c>
      <c r="D425" s="9">
        <v>3</v>
      </c>
      <c r="E425" s="10">
        <v>45455.525694444441</v>
      </c>
      <c r="F425" s="11">
        <v>1.85</v>
      </c>
      <c r="G425" s="9">
        <v>12689</v>
      </c>
      <c r="H425" s="9" t="s">
        <v>14</v>
      </c>
    </row>
    <row r="426" spans="1:8" ht="15" thickBot="1" x14ac:dyDescent="0.35">
      <c r="A426" s="12">
        <v>50425</v>
      </c>
      <c r="B426" s="6">
        <v>22720</v>
      </c>
      <c r="C426" s="6" t="s">
        <v>17</v>
      </c>
      <c r="D426" s="6">
        <v>2</v>
      </c>
      <c r="E426" s="7">
        <v>45406.7</v>
      </c>
      <c r="F426" s="8">
        <v>4.33</v>
      </c>
      <c r="G426" s="6">
        <v>12476</v>
      </c>
      <c r="H426" s="6" t="s">
        <v>22</v>
      </c>
    </row>
    <row r="427" spans="1:8" ht="15" thickBot="1" x14ac:dyDescent="0.35">
      <c r="A427" s="13">
        <v>50426</v>
      </c>
      <c r="B427" s="9">
        <v>22960</v>
      </c>
      <c r="C427" s="9" t="s">
        <v>49</v>
      </c>
      <c r="D427" s="9">
        <v>18</v>
      </c>
      <c r="E427" s="10">
        <v>45459.394444444442</v>
      </c>
      <c r="F427" s="11">
        <v>4.16</v>
      </c>
      <c r="G427" s="9">
        <v>12298</v>
      </c>
      <c r="H427" s="9" t="s">
        <v>20</v>
      </c>
    </row>
    <row r="428" spans="1:8" ht="15" thickBot="1" x14ac:dyDescent="0.35">
      <c r="A428" s="12">
        <v>50427</v>
      </c>
      <c r="B428" s="6">
        <v>22960</v>
      </c>
      <c r="C428" s="6" t="s">
        <v>49</v>
      </c>
      <c r="D428" s="6">
        <v>15</v>
      </c>
      <c r="E428" s="7">
        <v>45610.505555555559</v>
      </c>
      <c r="F428" s="8">
        <v>5.0599999999999996</v>
      </c>
      <c r="G428" s="6">
        <v>12791</v>
      </c>
      <c r="H428" s="6" t="s">
        <v>37</v>
      </c>
    </row>
    <row r="429" spans="1:8" ht="15" thickBot="1" x14ac:dyDescent="0.35">
      <c r="A429" s="13">
        <v>50428</v>
      </c>
      <c r="B429" s="9" t="s">
        <v>15</v>
      </c>
      <c r="C429" s="9" t="s">
        <v>16</v>
      </c>
      <c r="D429" s="9">
        <v>1</v>
      </c>
      <c r="E429" s="10">
        <v>45417.44027777778</v>
      </c>
      <c r="F429" s="11">
        <v>2.5299999999999998</v>
      </c>
      <c r="G429" s="9">
        <v>12554</v>
      </c>
      <c r="H429" s="9" t="s">
        <v>18</v>
      </c>
    </row>
    <row r="430" spans="1:8" ht="15" thickBot="1" x14ac:dyDescent="0.35">
      <c r="A430" s="12">
        <v>50429</v>
      </c>
      <c r="B430" s="6" t="s">
        <v>31</v>
      </c>
      <c r="C430" s="6" t="s">
        <v>32</v>
      </c>
      <c r="D430" s="6">
        <v>22</v>
      </c>
      <c r="E430" s="7">
        <v>45463.334027777775</v>
      </c>
      <c r="F430" s="8">
        <v>2.83</v>
      </c>
      <c r="G430" s="6">
        <v>12314</v>
      </c>
      <c r="H430" s="6" t="s">
        <v>24</v>
      </c>
    </row>
    <row r="431" spans="1:8" ht="15" thickBot="1" x14ac:dyDescent="0.35">
      <c r="A431" s="13">
        <v>50430</v>
      </c>
      <c r="B431" s="9">
        <v>22727</v>
      </c>
      <c r="C431" s="9" t="s">
        <v>46</v>
      </c>
      <c r="D431" s="9">
        <v>14</v>
      </c>
      <c r="E431" s="10">
        <v>45563.502083333333</v>
      </c>
      <c r="F431" s="11">
        <v>3.27</v>
      </c>
      <c r="G431" s="9">
        <v>12145</v>
      </c>
      <c r="H431" s="9" t="s">
        <v>22</v>
      </c>
    </row>
    <row r="432" spans="1:8" ht="15" thickBot="1" x14ac:dyDescent="0.35">
      <c r="A432" s="12">
        <v>50431</v>
      </c>
      <c r="B432" s="6" t="s">
        <v>12</v>
      </c>
      <c r="C432" s="6" t="s">
        <v>13</v>
      </c>
      <c r="D432" s="6">
        <v>17</v>
      </c>
      <c r="E432" s="7">
        <v>45314.497916666667</v>
      </c>
      <c r="F432" s="8">
        <v>3.2</v>
      </c>
      <c r="G432" s="6">
        <v>12469</v>
      </c>
      <c r="H432" s="6" t="s">
        <v>24</v>
      </c>
    </row>
    <row r="433" spans="1:8" ht="15" thickBot="1" x14ac:dyDescent="0.35">
      <c r="A433" s="13">
        <v>50432</v>
      </c>
      <c r="B433" s="9" t="s">
        <v>43</v>
      </c>
      <c r="C433" s="9" t="s">
        <v>44</v>
      </c>
      <c r="D433" s="9">
        <v>5</v>
      </c>
      <c r="E433" s="10">
        <v>45340.692361111112</v>
      </c>
      <c r="F433" s="11">
        <v>1.24</v>
      </c>
      <c r="G433" s="9">
        <v>12606</v>
      </c>
      <c r="H433" s="9" t="s">
        <v>20</v>
      </c>
    </row>
    <row r="434" spans="1:8" ht="15" thickBot="1" x14ac:dyDescent="0.35">
      <c r="A434" s="12">
        <v>50433</v>
      </c>
      <c r="B434" s="6">
        <v>71053</v>
      </c>
      <c r="C434" s="6" t="s">
        <v>38</v>
      </c>
      <c r="D434" s="6">
        <v>8</v>
      </c>
      <c r="E434" s="7">
        <v>45514.425694444442</v>
      </c>
      <c r="F434" s="8">
        <v>3.89</v>
      </c>
      <c r="G434" s="6">
        <v>12948</v>
      </c>
      <c r="H434" s="6" t="s">
        <v>26</v>
      </c>
    </row>
    <row r="435" spans="1:8" ht="15" thickBot="1" x14ac:dyDescent="0.35">
      <c r="A435" s="13">
        <v>50434</v>
      </c>
      <c r="B435" s="9">
        <v>22086</v>
      </c>
      <c r="C435" s="9" t="s">
        <v>41</v>
      </c>
      <c r="D435" s="9">
        <v>9</v>
      </c>
      <c r="E435" s="10">
        <v>45454.654861111114</v>
      </c>
      <c r="F435" s="11">
        <v>3.48</v>
      </c>
      <c r="G435" s="9">
        <v>12139</v>
      </c>
      <c r="H435" s="9" t="s">
        <v>20</v>
      </c>
    </row>
    <row r="436" spans="1:8" ht="15" thickBot="1" x14ac:dyDescent="0.35">
      <c r="A436" s="12">
        <v>50435</v>
      </c>
      <c r="B436" s="6" t="s">
        <v>8</v>
      </c>
      <c r="C436" s="6" t="s">
        <v>9</v>
      </c>
      <c r="D436" s="6">
        <v>6</v>
      </c>
      <c r="E436" s="7">
        <v>45371.408333333333</v>
      </c>
      <c r="F436" s="8">
        <v>3.25</v>
      </c>
      <c r="G436" s="6">
        <v>12123</v>
      </c>
      <c r="H436" s="6" t="s">
        <v>10</v>
      </c>
    </row>
    <row r="437" spans="1:8" ht="15" thickBot="1" x14ac:dyDescent="0.35">
      <c r="A437" s="13">
        <v>50436</v>
      </c>
      <c r="B437" s="9">
        <v>21212</v>
      </c>
      <c r="C437" s="9" t="s">
        <v>21</v>
      </c>
      <c r="D437" s="9">
        <v>10</v>
      </c>
      <c r="E437" s="10">
        <v>45398.654166666667</v>
      </c>
      <c r="F437" s="11">
        <v>0.63</v>
      </c>
      <c r="G437" s="9">
        <v>12092</v>
      </c>
      <c r="H437" s="9" t="s">
        <v>23</v>
      </c>
    </row>
    <row r="438" spans="1:8" ht="15" thickBot="1" x14ac:dyDescent="0.35">
      <c r="A438" s="12">
        <v>50437</v>
      </c>
      <c r="B438" s="6">
        <v>22960</v>
      </c>
      <c r="C438" s="6" t="s">
        <v>49</v>
      </c>
      <c r="D438" s="6">
        <v>7</v>
      </c>
      <c r="E438" s="7">
        <v>45652.361805555556</v>
      </c>
      <c r="F438" s="8">
        <v>4.0999999999999996</v>
      </c>
      <c r="G438" s="6">
        <v>12093</v>
      </c>
      <c r="H438" s="6" t="s">
        <v>37</v>
      </c>
    </row>
    <row r="439" spans="1:8" ht="15" thickBot="1" x14ac:dyDescent="0.35">
      <c r="A439" s="13">
        <v>50438</v>
      </c>
      <c r="B439" s="9">
        <v>21212</v>
      </c>
      <c r="C439" s="9" t="s">
        <v>21</v>
      </c>
      <c r="D439" s="9">
        <v>2</v>
      </c>
      <c r="E439" s="10">
        <v>45494.697916666664</v>
      </c>
      <c r="F439" s="11">
        <v>0.52</v>
      </c>
      <c r="G439" s="9">
        <v>12178</v>
      </c>
      <c r="H439" s="9" t="s">
        <v>14</v>
      </c>
    </row>
    <row r="440" spans="1:8" ht="15" thickBot="1" x14ac:dyDescent="0.35">
      <c r="A440" s="12">
        <v>50439</v>
      </c>
      <c r="B440" s="6">
        <v>22386</v>
      </c>
      <c r="C440" s="6" t="s">
        <v>29</v>
      </c>
      <c r="D440" s="6">
        <v>24</v>
      </c>
      <c r="E440" s="7">
        <v>45523.728472222225</v>
      </c>
      <c r="F440" s="8">
        <v>1.72</v>
      </c>
      <c r="G440" s="6">
        <v>12104</v>
      </c>
      <c r="H440" s="6" t="s">
        <v>23</v>
      </c>
    </row>
    <row r="441" spans="1:8" ht="15" thickBot="1" x14ac:dyDescent="0.35">
      <c r="A441" s="13">
        <v>50440</v>
      </c>
      <c r="B441" s="9" t="s">
        <v>8</v>
      </c>
      <c r="C441" s="9" t="s">
        <v>9</v>
      </c>
      <c r="D441" s="9">
        <v>8</v>
      </c>
      <c r="E441" s="10">
        <v>45298.377083333333</v>
      </c>
      <c r="F441" s="11">
        <v>3.86</v>
      </c>
      <c r="G441" s="9">
        <v>12381</v>
      </c>
      <c r="H441" s="9" t="s">
        <v>24</v>
      </c>
    </row>
    <row r="442" spans="1:8" ht="15" thickBot="1" x14ac:dyDescent="0.35">
      <c r="A442" s="12" t="s">
        <v>77</v>
      </c>
      <c r="B442" s="6" t="s">
        <v>43</v>
      </c>
      <c r="C442" s="6" t="s">
        <v>44</v>
      </c>
      <c r="D442" s="6">
        <v>-1</v>
      </c>
      <c r="E442" s="7">
        <v>45592.517361111109</v>
      </c>
      <c r="F442" s="8">
        <v>1.1499999999999999</v>
      </c>
      <c r="G442" s="6">
        <v>12661</v>
      </c>
      <c r="H442" s="6" t="s">
        <v>28</v>
      </c>
    </row>
    <row r="443" spans="1:8" ht="15" thickBot="1" x14ac:dyDescent="0.35">
      <c r="A443" s="13" t="s">
        <v>78</v>
      </c>
      <c r="B443" s="9">
        <v>84879</v>
      </c>
      <c r="C443" s="9" t="s">
        <v>45</v>
      </c>
      <c r="D443" s="9">
        <v>-4</v>
      </c>
      <c r="E443" s="10">
        <v>45339.568749999999</v>
      </c>
      <c r="F443" s="11">
        <v>1.47</v>
      </c>
      <c r="G443" s="9">
        <v>12946</v>
      </c>
      <c r="H443" s="9" t="s">
        <v>20</v>
      </c>
    </row>
    <row r="444" spans="1:8" ht="15" thickBot="1" x14ac:dyDescent="0.35">
      <c r="A444" s="12">
        <v>50443</v>
      </c>
      <c r="B444" s="6" t="s">
        <v>39</v>
      </c>
      <c r="C444" s="6" t="s">
        <v>40</v>
      </c>
      <c r="D444" s="6">
        <v>1</v>
      </c>
      <c r="E444" s="7">
        <v>45494.686111111114</v>
      </c>
      <c r="F444" s="8">
        <v>2.08</v>
      </c>
      <c r="G444" s="6">
        <v>12362</v>
      </c>
      <c r="H444" s="6" t="s">
        <v>37</v>
      </c>
    </row>
    <row r="445" spans="1:8" ht="15" thickBot="1" x14ac:dyDescent="0.35">
      <c r="A445" s="13">
        <v>50444</v>
      </c>
      <c r="B445" s="9">
        <v>22720</v>
      </c>
      <c r="C445" s="9" t="s">
        <v>17</v>
      </c>
      <c r="D445" s="9">
        <v>15</v>
      </c>
      <c r="E445" s="10">
        <v>45432.531944444447</v>
      </c>
      <c r="F445" s="11">
        <v>4.2699999999999996</v>
      </c>
      <c r="G445" s="9">
        <v>12634</v>
      </c>
      <c r="H445" s="9" t="s">
        <v>20</v>
      </c>
    </row>
    <row r="446" spans="1:8" ht="15" thickBot="1" x14ac:dyDescent="0.35">
      <c r="A446" s="12">
        <v>50445</v>
      </c>
      <c r="B446" s="6">
        <v>22423</v>
      </c>
      <c r="C446" s="6" t="s">
        <v>36</v>
      </c>
      <c r="D446" s="6">
        <v>16</v>
      </c>
      <c r="E446" s="7">
        <v>45623.543055555558</v>
      </c>
      <c r="F446" s="8">
        <v>13.29</v>
      </c>
      <c r="G446" s="6">
        <v>12062</v>
      </c>
      <c r="H446" s="6" t="s">
        <v>24</v>
      </c>
    </row>
    <row r="447" spans="1:8" ht="15" thickBot="1" x14ac:dyDescent="0.35">
      <c r="A447" s="13">
        <v>50446</v>
      </c>
      <c r="B447" s="9">
        <v>47566</v>
      </c>
      <c r="C447" s="9" t="s">
        <v>27</v>
      </c>
      <c r="D447" s="9">
        <v>14</v>
      </c>
      <c r="E447" s="10">
        <v>45488.430555555555</v>
      </c>
      <c r="F447" s="11">
        <v>5.74</v>
      </c>
      <c r="G447" s="9">
        <v>12538</v>
      </c>
      <c r="H447" s="9" t="s">
        <v>37</v>
      </c>
    </row>
    <row r="448" spans="1:8" ht="15" thickBot="1" x14ac:dyDescent="0.35">
      <c r="A448" s="12">
        <v>50447</v>
      </c>
      <c r="B448" s="6" t="s">
        <v>15</v>
      </c>
      <c r="C448" s="6" t="s">
        <v>16</v>
      </c>
      <c r="D448" s="6">
        <v>23</v>
      </c>
      <c r="E448" s="7">
        <v>45301.604861111111</v>
      </c>
      <c r="F448" s="8">
        <v>3.07</v>
      </c>
      <c r="G448" s="6">
        <v>12496</v>
      </c>
      <c r="H448" s="6" t="s">
        <v>18</v>
      </c>
    </row>
    <row r="449" spans="1:8" ht="15" thickBot="1" x14ac:dyDescent="0.35">
      <c r="A449" s="13">
        <v>50448</v>
      </c>
      <c r="B449" s="9" t="s">
        <v>43</v>
      </c>
      <c r="C449" s="9" t="s">
        <v>44</v>
      </c>
      <c r="D449" s="9">
        <v>13</v>
      </c>
      <c r="E449" s="10">
        <v>45549.561805555553</v>
      </c>
      <c r="F449" s="11">
        <v>1.07</v>
      </c>
      <c r="G449" s="9">
        <v>12611</v>
      </c>
      <c r="H449" s="9" t="s">
        <v>37</v>
      </c>
    </row>
    <row r="450" spans="1:8" ht="15" thickBot="1" x14ac:dyDescent="0.35">
      <c r="A450" s="12">
        <v>50449</v>
      </c>
      <c r="B450" s="6" t="s">
        <v>31</v>
      </c>
      <c r="C450" s="6" t="s">
        <v>32</v>
      </c>
      <c r="D450" s="6">
        <v>16</v>
      </c>
      <c r="E450" s="7">
        <v>45435.374305555553</v>
      </c>
      <c r="F450" s="8">
        <v>2.85</v>
      </c>
      <c r="G450" s="6">
        <v>12238</v>
      </c>
      <c r="H450" s="6" t="s">
        <v>23</v>
      </c>
    </row>
    <row r="451" spans="1:8" ht="15" thickBot="1" x14ac:dyDescent="0.35">
      <c r="A451" s="13">
        <v>50450</v>
      </c>
      <c r="B451" s="9" t="s">
        <v>8</v>
      </c>
      <c r="C451" s="9" t="s">
        <v>9</v>
      </c>
      <c r="D451" s="9">
        <v>9</v>
      </c>
      <c r="E451" s="10">
        <v>45418.504166666666</v>
      </c>
      <c r="F451" s="11">
        <v>3.82</v>
      </c>
      <c r="G451" s="9">
        <v>12754</v>
      </c>
      <c r="H451" s="9" t="s">
        <v>14</v>
      </c>
    </row>
    <row r="452" spans="1:8" ht="15" thickBot="1" x14ac:dyDescent="0.35">
      <c r="A452" s="12">
        <v>50451</v>
      </c>
      <c r="B452" s="6">
        <v>22423</v>
      </c>
      <c r="C452" s="6" t="s">
        <v>36</v>
      </c>
      <c r="D452" s="6">
        <v>12</v>
      </c>
      <c r="E452" s="7">
        <v>45586.609027777777</v>
      </c>
      <c r="F452" s="8">
        <v>15.26</v>
      </c>
      <c r="G452" s="6">
        <v>12177</v>
      </c>
      <c r="H452" s="6" t="s">
        <v>23</v>
      </c>
    </row>
    <row r="453" spans="1:8" ht="15" thickBot="1" x14ac:dyDescent="0.35">
      <c r="A453" s="13">
        <v>50452</v>
      </c>
      <c r="B453" s="9">
        <v>22423</v>
      </c>
      <c r="C453" s="9" t="s">
        <v>36</v>
      </c>
      <c r="D453" s="9">
        <v>24</v>
      </c>
      <c r="E453" s="10">
        <v>45595.559027777781</v>
      </c>
      <c r="F453" s="11">
        <v>14.92</v>
      </c>
      <c r="G453" s="9">
        <v>12028</v>
      </c>
      <c r="H453" s="9" t="s">
        <v>18</v>
      </c>
    </row>
    <row r="454" spans="1:8" ht="15" thickBot="1" x14ac:dyDescent="0.35">
      <c r="A454" s="12">
        <v>50453</v>
      </c>
      <c r="B454" s="6" t="s">
        <v>43</v>
      </c>
      <c r="C454" s="6" t="s">
        <v>44</v>
      </c>
      <c r="D454" s="6">
        <v>19</v>
      </c>
      <c r="E454" s="7">
        <v>45580.434027777781</v>
      </c>
      <c r="F454" s="8">
        <v>1.43</v>
      </c>
      <c r="G454" s="6">
        <v>12829</v>
      </c>
      <c r="H454" s="6" t="s">
        <v>28</v>
      </c>
    </row>
    <row r="455" spans="1:8" ht="15" thickBot="1" x14ac:dyDescent="0.35">
      <c r="A455" s="13" t="s">
        <v>79</v>
      </c>
      <c r="B455" s="9" t="s">
        <v>15</v>
      </c>
      <c r="C455" s="9" t="s">
        <v>16</v>
      </c>
      <c r="D455" s="9">
        <v>-1</v>
      </c>
      <c r="E455" s="10">
        <v>45450.457638888889</v>
      </c>
      <c r="F455" s="11">
        <v>2.75</v>
      </c>
      <c r="G455" s="9">
        <v>12224</v>
      </c>
      <c r="H455" s="9" t="s">
        <v>14</v>
      </c>
    </row>
    <row r="456" spans="1:8" ht="15" thickBot="1" x14ac:dyDescent="0.35">
      <c r="A456" s="12">
        <v>50455</v>
      </c>
      <c r="B456" s="6" t="s">
        <v>33</v>
      </c>
      <c r="C456" s="6" t="s">
        <v>34</v>
      </c>
      <c r="D456" s="6">
        <v>11</v>
      </c>
      <c r="E456" s="7">
        <v>45536.333333333336</v>
      </c>
      <c r="F456" s="8">
        <v>16.57</v>
      </c>
      <c r="G456" s="6">
        <v>12133</v>
      </c>
      <c r="H456" s="6" t="s">
        <v>18</v>
      </c>
    </row>
    <row r="457" spans="1:8" ht="15" thickBot="1" x14ac:dyDescent="0.35">
      <c r="A457" s="13">
        <v>50456</v>
      </c>
      <c r="B457" s="9">
        <v>22720</v>
      </c>
      <c r="C457" s="9" t="s">
        <v>17</v>
      </c>
      <c r="D457" s="9">
        <v>1</v>
      </c>
      <c r="E457" s="10">
        <v>45457.375</v>
      </c>
      <c r="F457" s="11">
        <v>5.43</v>
      </c>
      <c r="G457" s="9">
        <v>12145</v>
      </c>
      <c r="H457" s="9" t="s">
        <v>24</v>
      </c>
    </row>
    <row r="458" spans="1:8" ht="15" thickBot="1" x14ac:dyDescent="0.35">
      <c r="A458" s="12">
        <v>50457</v>
      </c>
      <c r="B458" s="6" t="s">
        <v>33</v>
      </c>
      <c r="C458" s="6" t="s">
        <v>34</v>
      </c>
      <c r="D458" s="6">
        <v>12</v>
      </c>
      <c r="E458" s="7">
        <v>45478.384722222225</v>
      </c>
      <c r="F458" s="8">
        <v>19.47</v>
      </c>
      <c r="G458" s="6">
        <v>12600</v>
      </c>
      <c r="H458" s="6" t="s">
        <v>24</v>
      </c>
    </row>
    <row r="459" spans="1:8" ht="15" thickBot="1" x14ac:dyDescent="0.35">
      <c r="A459" s="13">
        <v>50458</v>
      </c>
      <c r="B459" s="9">
        <v>22086</v>
      </c>
      <c r="C459" s="9" t="s">
        <v>41</v>
      </c>
      <c r="D459" s="9">
        <v>5</v>
      </c>
      <c r="E459" s="10">
        <v>45446.5625</v>
      </c>
      <c r="F459" s="11">
        <v>3.26</v>
      </c>
      <c r="G459" s="9">
        <v>12447</v>
      </c>
      <c r="H459" s="9" t="s">
        <v>28</v>
      </c>
    </row>
    <row r="460" spans="1:8" ht="15" thickBot="1" x14ac:dyDescent="0.35">
      <c r="A460" s="12">
        <v>50459</v>
      </c>
      <c r="B460" s="6">
        <v>22086</v>
      </c>
      <c r="C460" s="6" t="s">
        <v>41</v>
      </c>
      <c r="D460" s="6">
        <v>23</v>
      </c>
      <c r="E460" s="7">
        <v>45381.732638888891</v>
      </c>
      <c r="F460" s="8">
        <v>3.14</v>
      </c>
      <c r="G460" s="6">
        <v>12365</v>
      </c>
      <c r="H460" s="6" t="s">
        <v>37</v>
      </c>
    </row>
    <row r="461" spans="1:8" ht="15" thickBot="1" x14ac:dyDescent="0.35">
      <c r="A461" s="13">
        <v>50460</v>
      </c>
      <c r="B461" s="9" t="s">
        <v>43</v>
      </c>
      <c r="C461" s="9" t="s">
        <v>44</v>
      </c>
      <c r="D461" s="9">
        <v>10</v>
      </c>
      <c r="E461" s="10">
        <v>45381.602083333331</v>
      </c>
      <c r="F461" s="11">
        <v>1.19</v>
      </c>
      <c r="G461" s="9">
        <v>12181</v>
      </c>
      <c r="H461" s="9" t="s">
        <v>14</v>
      </c>
    </row>
    <row r="462" spans="1:8" ht="15" thickBot="1" x14ac:dyDescent="0.35">
      <c r="A462" s="12">
        <v>50461</v>
      </c>
      <c r="B462" s="6" t="s">
        <v>43</v>
      </c>
      <c r="C462" s="6" t="s">
        <v>44</v>
      </c>
      <c r="D462" s="6">
        <v>2</v>
      </c>
      <c r="E462" s="7">
        <v>45492.736805555556</v>
      </c>
      <c r="F462" s="8">
        <v>1.2</v>
      </c>
      <c r="G462" s="6">
        <v>12828</v>
      </c>
      <c r="H462" s="6" t="s">
        <v>20</v>
      </c>
    </row>
    <row r="463" spans="1:8" ht="15" thickBot="1" x14ac:dyDescent="0.35">
      <c r="A463" s="13">
        <v>50462</v>
      </c>
      <c r="B463" s="9">
        <v>22423</v>
      </c>
      <c r="C463" s="9" t="s">
        <v>36</v>
      </c>
      <c r="D463" s="9">
        <v>4</v>
      </c>
      <c r="E463" s="10">
        <v>45619.73541666667</v>
      </c>
      <c r="F463" s="11">
        <v>11.47</v>
      </c>
      <c r="G463" s="9">
        <v>12763</v>
      </c>
      <c r="H463" s="9" t="s">
        <v>24</v>
      </c>
    </row>
    <row r="464" spans="1:8" ht="15" thickBot="1" x14ac:dyDescent="0.35">
      <c r="A464" s="12">
        <v>50463</v>
      </c>
      <c r="B464" s="6">
        <v>22423</v>
      </c>
      <c r="C464" s="6" t="s">
        <v>36</v>
      </c>
      <c r="D464" s="6">
        <v>6</v>
      </c>
      <c r="E464" s="7">
        <v>45469.560416666667</v>
      </c>
      <c r="F464" s="8">
        <v>15.14</v>
      </c>
      <c r="G464" s="6">
        <v>12841</v>
      </c>
      <c r="H464" s="6" t="s">
        <v>18</v>
      </c>
    </row>
    <row r="465" spans="1:8" ht="15" thickBot="1" x14ac:dyDescent="0.35">
      <c r="A465" s="13">
        <v>50464</v>
      </c>
      <c r="B465" s="9">
        <v>20725</v>
      </c>
      <c r="C465" s="9" t="s">
        <v>19</v>
      </c>
      <c r="D465" s="9">
        <v>7</v>
      </c>
      <c r="E465" s="10">
        <v>45297.521527777775</v>
      </c>
      <c r="F465" s="11">
        <v>1.44</v>
      </c>
      <c r="G465" s="9">
        <v>12262</v>
      </c>
      <c r="H465" s="9" t="s">
        <v>24</v>
      </c>
    </row>
    <row r="466" spans="1:8" ht="15" thickBot="1" x14ac:dyDescent="0.35">
      <c r="A466" s="12">
        <v>50465</v>
      </c>
      <c r="B466" s="6" t="s">
        <v>31</v>
      </c>
      <c r="C466" s="6" t="s">
        <v>32</v>
      </c>
      <c r="D466" s="6">
        <v>15</v>
      </c>
      <c r="E466" s="7">
        <v>45316.607638888891</v>
      </c>
      <c r="F466" s="8">
        <v>3.03</v>
      </c>
      <c r="G466" s="6">
        <v>12905</v>
      </c>
      <c r="H466" s="6" t="s">
        <v>26</v>
      </c>
    </row>
    <row r="467" spans="1:8" ht="15" thickBot="1" x14ac:dyDescent="0.35">
      <c r="A467" s="13">
        <v>50466</v>
      </c>
      <c r="B467" s="9">
        <v>23203</v>
      </c>
      <c r="C467" s="9" t="s">
        <v>30</v>
      </c>
      <c r="D467" s="9">
        <v>18</v>
      </c>
      <c r="E467" s="10">
        <v>45485.582638888889</v>
      </c>
      <c r="F467" s="11">
        <v>2.37</v>
      </c>
      <c r="G467" s="9">
        <v>12807</v>
      </c>
      <c r="H467" s="9" t="s">
        <v>20</v>
      </c>
    </row>
    <row r="468" spans="1:8" ht="15" thickBot="1" x14ac:dyDescent="0.35">
      <c r="A468" s="12">
        <v>50467</v>
      </c>
      <c r="B468" s="6">
        <v>22423</v>
      </c>
      <c r="C468" s="6" t="s">
        <v>36</v>
      </c>
      <c r="D468" s="6">
        <v>3</v>
      </c>
      <c r="E468" s="7">
        <v>45375.654166666667</v>
      </c>
      <c r="F468" s="8">
        <v>10.99</v>
      </c>
      <c r="G468" s="6">
        <v>12020</v>
      </c>
      <c r="H468" s="6" t="s">
        <v>18</v>
      </c>
    </row>
    <row r="469" spans="1:8" ht="15" thickBot="1" x14ac:dyDescent="0.35">
      <c r="A469" s="13">
        <v>50468</v>
      </c>
      <c r="B469" s="9">
        <v>47566</v>
      </c>
      <c r="C469" s="9" t="s">
        <v>27</v>
      </c>
      <c r="D469" s="9">
        <v>11</v>
      </c>
      <c r="E469" s="10">
        <v>45345.385416666664</v>
      </c>
      <c r="F469" s="11">
        <v>4.8600000000000003</v>
      </c>
      <c r="G469" s="9">
        <v>12749</v>
      </c>
      <c r="H469" s="9" t="s">
        <v>24</v>
      </c>
    </row>
    <row r="470" spans="1:8" ht="15" thickBot="1" x14ac:dyDescent="0.35">
      <c r="A470" s="12">
        <v>50469</v>
      </c>
      <c r="B470" s="6" t="s">
        <v>15</v>
      </c>
      <c r="C470" s="6" t="s">
        <v>16</v>
      </c>
      <c r="D470" s="6">
        <v>20</v>
      </c>
      <c r="E470" s="7">
        <v>45339.573611111111</v>
      </c>
      <c r="F470" s="8">
        <v>3.43</v>
      </c>
      <c r="G470" s="6">
        <v>12721</v>
      </c>
      <c r="H470" s="6" t="s">
        <v>14</v>
      </c>
    </row>
    <row r="471" spans="1:8" ht="15" thickBot="1" x14ac:dyDescent="0.35">
      <c r="A471" s="13">
        <v>50470</v>
      </c>
      <c r="B471" s="9" t="s">
        <v>39</v>
      </c>
      <c r="C471" s="9" t="s">
        <v>40</v>
      </c>
      <c r="D471" s="9">
        <v>20</v>
      </c>
      <c r="E471" s="10">
        <v>45626.45</v>
      </c>
      <c r="F471" s="11">
        <v>1.88</v>
      </c>
      <c r="G471" s="9">
        <v>12103</v>
      </c>
      <c r="H471" s="9" t="s">
        <v>18</v>
      </c>
    </row>
    <row r="472" spans="1:8" ht="15" thickBot="1" x14ac:dyDescent="0.35">
      <c r="A472" s="12">
        <v>50471</v>
      </c>
      <c r="B472" s="6">
        <v>22727</v>
      </c>
      <c r="C472" s="6" t="s">
        <v>46</v>
      </c>
      <c r="D472" s="6">
        <v>23</v>
      </c>
      <c r="E472" s="7">
        <v>45389.624305555553</v>
      </c>
      <c r="F472" s="8">
        <v>4.4000000000000004</v>
      </c>
      <c r="G472" s="6">
        <v>12553</v>
      </c>
      <c r="H472" s="6" t="s">
        <v>22</v>
      </c>
    </row>
    <row r="473" spans="1:8" ht="15" thickBot="1" x14ac:dyDescent="0.35">
      <c r="A473" s="13" t="s">
        <v>80</v>
      </c>
      <c r="B473" s="9">
        <v>22960</v>
      </c>
      <c r="C473" s="9" t="s">
        <v>49</v>
      </c>
      <c r="D473" s="9">
        <v>-4</v>
      </c>
      <c r="E473" s="10">
        <v>45444.502083333333</v>
      </c>
      <c r="F473" s="11">
        <v>3.84</v>
      </c>
      <c r="G473" s="9">
        <v>12369</v>
      </c>
      <c r="H473" s="9" t="s">
        <v>14</v>
      </c>
    </row>
    <row r="474" spans="1:8" ht="15" thickBot="1" x14ac:dyDescent="0.35">
      <c r="A474" s="12">
        <v>50473</v>
      </c>
      <c r="B474" s="6" t="s">
        <v>39</v>
      </c>
      <c r="C474" s="6" t="s">
        <v>40</v>
      </c>
      <c r="D474" s="6">
        <v>22</v>
      </c>
      <c r="E474" s="7">
        <v>45336.542361111111</v>
      </c>
      <c r="F474" s="8">
        <v>2.12</v>
      </c>
      <c r="G474" s="6">
        <v>12099</v>
      </c>
      <c r="H474" s="6" t="s">
        <v>14</v>
      </c>
    </row>
    <row r="475" spans="1:8" ht="15" thickBot="1" x14ac:dyDescent="0.35">
      <c r="A475" s="13">
        <v>50474</v>
      </c>
      <c r="B475" s="9">
        <v>22727</v>
      </c>
      <c r="C475" s="9" t="s">
        <v>46</v>
      </c>
      <c r="D475" s="9">
        <v>3</v>
      </c>
      <c r="E475" s="10">
        <v>45379.540277777778</v>
      </c>
      <c r="F475" s="11">
        <v>3.34</v>
      </c>
      <c r="G475" s="9">
        <v>12803</v>
      </c>
      <c r="H475" s="9" t="s">
        <v>26</v>
      </c>
    </row>
    <row r="476" spans="1:8" ht="15" thickBot="1" x14ac:dyDescent="0.35">
      <c r="A476" s="12">
        <v>50475</v>
      </c>
      <c r="B476" s="6">
        <v>23203</v>
      </c>
      <c r="C476" s="6" t="s">
        <v>30</v>
      </c>
      <c r="D476" s="6">
        <v>3</v>
      </c>
      <c r="E476" s="7">
        <v>45542.521527777775</v>
      </c>
      <c r="F476" s="8">
        <v>2.0499999999999998</v>
      </c>
      <c r="G476" s="6">
        <v>12379</v>
      </c>
      <c r="H476" s="6" t="s">
        <v>26</v>
      </c>
    </row>
    <row r="477" spans="1:8" ht="15" thickBot="1" x14ac:dyDescent="0.35">
      <c r="A477" s="13">
        <v>50476</v>
      </c>
      <c r="B477" s="9">
        <v>21212</v>
      </c>
      <c r="C477" s="9" t="s">
        <v>21</v>
      </c>
      <c r="D477" s="9">
        <v>2</v>
      </c>
      <c r="E477" s="10">
        <v>45387.65</v>
      </c>
      <c r="F477" s="11">
        <v>0.56000000000000005</v>
      </c>
      <c r="G477" s="9">
        <v>12231</v>
      </c>
      <c r="H477" s="9" t="s">
        <v>22</v>
      </c>
    </row>
    <row r="478" spans="1:8" ht="15" thickBot="1" x14ac:dyDescent="0.35">
      <c r="A478" s="12">
        <v>50477</v>
      </c>
      <c r="B478" s="6" t="s">
        <v>43</v>
      </c>
      <c r="C478" s="6" t="s">
        <v>44</v>
      </c>
      <c r="D478" s="6">
        <v>23</v>
      </c>
      <c r="E478" s="7">
        <v>45323.44027777778</v>
      </c>
      <c r="F478" s="8">
        <v>1.1000000000000001</v>
      </c>
      <c r="G478" s="6">
        <v>12352</v>
      </c>
      <c r="H478" s="6" t="s">
        <v>10</v>
      </c>
    </row>
    <row r="479" spans="1:8" ht="15" thickBot="1" x14ac:dyDescent="0.35">
      <c r="A479" s="13">
        <v>50478</v>
      </c>
      <c r="B479" s="9" t="s">
        <v>39</v>
      </c>
      <c r="C479" s="9" t="s">
        <v>40</v>
      </c>
      <c r="D479" s="9">
        <v>18</v>
      </c>
      <c r="E479" s="10">
        <v>45593.494444444441</v>
      </c>
      <c r="F479" s="11">
        <v>2.0499999999999998</v>
      </c>
      <c r="G479" s="9">
        <v>12535</v>
      </c>
      <c r="H479" s="9" t="s">
        <v>26</v>
      </c>
    </row>
    <row r="480" spans="1:8" ht="15" thickBot="1" x14ac:dyDescent="0.35">
      <c r="A480" s="12">
        <v>50479</v>
      </c>
      <c r="B480" s="6" t="s">
        <v>15</v>
      </c>
      <c r="C480" s="6" t="s">
        <v>16</v>
      </c>
      <c r="D480" s="6">
        <v>19</v>
      </c>
      <c r="E480" s="7">
        <v>45643.67083333333</v>
      </c>
      <c r="F480" s="8">
        <v>3</v>
      </c>
      <c r="G480" s="6">
        <v>12080</v>
      </c>
      <c r="H480" s="6" t="s">
        <v>26</v>
      </c>
    </row>
    <row r="481" spans="1:8" ht="15" thickBot="1" x14ac:dyDescent="0.35">
      <c r="A481" s="13">
        <v>50480</v>
      </c>
      <c r="B481" s="9">
        <v>71053</v>
      </c>
      <c r="C481" s="9" t="s">
        <v>38</v>
      </c>
      <c r="D481" s="9">
        <v>17</v>
      </c>
      <c r="E481" s="10">
        <v>45549.738888888889</v>
      </c>
      <c r="F481" s="11">
        <v>3.69</v>
      </c>
      <c r="G481" s="9">
        <v>12635</v>
      </c>
      <c r="H481" s="9" t="s">
        <v>23</v>
      </c>
    </row>
    <row r="482" spans="1:8" ht="15" thickBot="1" x14ac:dyDescent="0.35">
      <c r="A482" s="12">
        <v>50481</v>
      </c>
      <c r="B482" s="6" t="s">
        <v>8</v>
      </c>
      <c r="C482" s="6" t="s">
        <v>9</v>
      </c>
      <c r="D482" s="6">
        <v>6</v>
      </c>
      <c r="E482" s="7">
        <v>45521.456250000003</v>
      </c>
      <c r="F482" s="8">
        <v>3.84</v>
      </c>
      <c r="G482" s="6">
        <v>12129</v>
      </c>
      <c r="H482" s="6" t="s">
        <v>14</v>
      </c>
    </row>
    <row r="483" spans="1:8" ht="15" thickBot="1" x14ac:dyDescent="0.35">
      <c r="A483" s="13">
        <v>50482</v>
      </c>
      <c r="B483" s="9" t="s">
        <v>39</v>
      </c>
      <c r="C483" s="9" t="s">
        <v>40</v>
      </c>
      <c r="D483" s="9">
        <v>7</v>
      </c>
      <c r="E483" s="10">
        <v>45332.642361111109</v>
      </c>
      <c r="F483" s="11">
        <v>2.2200000000000002</v>
      </c>
      <c r="G483" s="9">
        <v>12854</v>
      </c>
      <c r="H483" s="9" t="s">
        <v>20</v>
      </c>
    </row>
    <row r="484" spans="1:8" ht="15" thickBot="1" x14ac:dyDescent="0.35">
      <c r="A484" s="12">
        <v>50483</v>
      </c>
      <c r="B484" s="6">
        <v>47566</v>
      </c>
      <c r="C484" s="6" t="s">
        <v>27</v>
      </c>
      <c r="D484" s="6">
        <v>3</v>
      </c>
      <c r="E484" s="7">
        <v>45455.380555555559</v>
      </c>
      <c r="F484" s="8">
        <v>4.9000000000000004</v>
      </c>
      <c r="G484" s="6">
        <v>12333</v>
      </c>
      <c r="H484" s="6" t="s">
        <v>22</v>
      </c>
    </row>
    <row r="485" spans="1:8" ht="15" thickBot="1" x14ac:dyDescent="0.35">
      <c r="A485" s="13">
        <v>50484</v>
      </c>
      <c r="B485" s="9" t="s">
        <v>33</v>
      </c>
      <c r="C485" s="9" t="s">
        <v>34</v>
      </c>
      <c r="D485" s="9">
        <v>23</v>
      </c>
      <c r="E485" s="10">
        <v>45526.341666666667</v>
      </c>
      <c r="F485" s="11">
        <v>18.59</v>
      </c>
      <c r="G485" s="9">
        <v>12429</v>
      </c>
      <c r="H485" s="9" t="s">
        <v>24</v>
      </c>
    </row>
    <row r="486" spans="1:8" ht="15" thickBot="1" x14ac:dyDescent="0.35">
      <c r="A486" s="12">
        <v>50485</v>
      </c>
      <c r="B486" s="6" t="s">
        <v>39</v>
      </c>
      <c r="C486" s="6" t="s">
        <v>40</v>
      </c>
      <c r="D486" s="6">
        <v>19</v>
      </c>
      <c r="E486" s="7">
        <v>45368.438194444447</v>
      </c>
      <c r="F486" s="8">
        <v>2.3199999999999998</v>
      </c>
      <c r="G486" s="6">
        <v>12962</v>
      </c>
      <c r="H486" s="6" t="s">
        <v>24</v>
      </c>
    </row>
    <row r="487" spans="1:8" ht="15" thickBot="1" x14ac:dyDescent="0.35">
      <c r="A487" s="13">
        <v>50486</v>
      </c>
      <c r="B487" s="9" t="s">
        <v>8</v>
      </c>
      <c r="C487" s="9" t="s">
        <v>9</v>
      </c>
      <c r="D487" s="9">
        <v>10</v>
      </c>
      <c r="E487" s="10">
        <v>45580.404861111114</v>
      </c>
      <c r="F487" s="11">
        <v>3.93</v>
      </c>
      <c r="G487" s="9">
        <v>12898</v>
      </c>
      <c r="H487" s="9" t="s">
        <v>26</v>
      </c>
    </row>
    <row r="488" spans="1:8" ht="15" thickBot="1" x14ac:dyDescent="0.35">
      <c r="A488" s="12">
        <v>50487</v>
      </c>
      <c r="B488" s="6">
        <v>47566</v>
      </c>
      <c r="C488" s="6" t="s">
        <v>27</v>
      </c>
      <c r="D488" s="6">
        <v>19</v>
      </c>
      <c r="E488" s="7">
        <v>45488.678472222222</v>
      </c>
      <c r="F488" s="8">
        <v>4.2699999999999996</v>
      </c>
      <c r="G488" s="6">
        <v>12282</v>
      </c>
      <c r="H488" s="6" t="s">
        <v>26</v>
      </c>
    </row>
    <row r="489" spans="1:8" ht="15" thickBot="1" x14ac:dyDescent="0.35">
      <c r="A489" s="13">
        <v>50488</v>
      </c>
      <c r="B489" s="9">
        <v>84879</v>
      </c>
      <c r="C489" s="9" t="s">
        <v>45</v>
      </c>
      <c r="D489" s="9">
        <v>2</v>
      </c>
      <c r="E489" s="10">
        <v>45608.618750000001</v>
      </c>
      <c r="F489" s="11">
        <v>1.96</v>
      </c>
      <c r="G489" s="9">
        <v>12707</v>
      </c>
      <c r="H489" s="9" t="s">
        <v>37</v>
      </c>
    </row>
    <row r="490" spans="1:8" ht="15" thickBot="1" x14ac:dyDescent="0.35">
      <c r="A490" s="12" t="s">
        <v>81</v>
      </c>
      <c r="B490" s="6">
        <v>71053</v>
      </c>
      <c r="C490" s="6" t="s">
        <v>38</v>
      </c>
      <c r="D490" s="6">
        <v>-5</v>
      </c>
      <c r="E490" s="7">
        <v>45535.524305555555</v>
      </c>
      <c r="F490" s="8">
        <v>3.25</v>
      </c>
      <c r="G490" s="6">
        <v>12863</v>
      </c>
      <c r="H490" s="6" t="s">
        <v>28</v>
      </c>
    </row>
    <row r="491" spans="1:8" ht="15" thickBot="1" x14ac:dyDescent="0.35">
      <c r="A491" s="13">
        <v>50490</v>
      </c>
      <c r="B491" s="9" t="s">
        <v>8</v>
      </c>
      <c r="C491" s="9" t="s">
        <v>9</v>
      </c>
      <c r="D491" s="9">
        <v>10</v>
      </c>
      <c r="E491" s="10">
        <v>45408.428472222222</v>
      </c>
      <c r="F491" s="11">
        <v>3.41</v>
      </c>
      <c r="G491" s="9">
        <v>12845</v>
      </c>
      <c r="H491" s="9" t="s">
        <v>18</v>
      </c>
    </row>
    <row r="492" spans="1:8" ht="15" thickBot="1" x14ac:dyDescent="0.35">
      <c r="A492" s="12">
        <v>50491</v>
      </c>
      <c r="B492" s="6">
        <v>47566</v>
      </c>
      <c r="C492" s="6" t="s">
        <v>27</v>
      </c>
      <c r="D492" s="6">
        <v>7</v>
      </c>
      <c r="E492" s="7">
        <v>45505.396527777775</v>
      </c>
      <c r="F492" s="8">
        <v>5.79</v>
      </c>
      <c r="G492" s="6">
        <v>12416</v>
      </c>
      <c r="H492" s="6" t="s">
        <v>28</v>
      </c>
    </row>
    <row r="493" spans="1:8" ht="15" thickBot="1" x14ac:dyDescent="0.35">
      <c r="A493" s="13">
        <v>50492</v>
      </c>
      <c r="B493" s="9" t="s">
        <v>33</v>
      </c>
      <c r="C493" s="9" t="s">
        <v>34</v>
      </c>
      <c r="D493" s="9">
        <v>17</v>
      </c>
      <c r="E493" s="10">
        <v>45483.372916666667</v>
      </c>
      <c r="F493" s="11">
        <v>15.71</v>
      </c>
      <c r="G493" s="9">
        <v>12726</v>
      </c>
      <c r="H493" s="9" t="s">
        <v>10</v>
      </c>
    </row>
    <row r="494" spans="1:8" ht="15" thickBot="1" x14ac:dyDescent="0.35">
      <c r="A494" s="12" t="s">
        <v>82</v>
      </c>
      <c r="B494" s="6">
        <v>22386</v>
      </c>
      <c r="C494" s="6" t="s">
        <v>29</v>
      </c>
      <c r="D494" s="6">
        <v>-4</v>
      </c>
      <c r="E494" s="7">
        <v>45361.705555555556</v>
      </c>
      <c r="F494" s="8">
        <v>2.25</v>
      </c>
      <c r="G494" s="6">
        <v>12205</v>
      </c>
      <c r="H494" s="6" t="s">
        <v>14</v>
      </c>
    </row>
    <row r="495" spans="1:8" ht="15" thickBot="1" x14ac:dyDescent="0.35">
      <c r="A495" s="13">
        <v>50494</v>
      </c>
      <c r="B495" s="9">
        <v>22423</v>
      </c>
      <c r="C495" s="9" t="s">
        <v>36</v>
      </c>
      <c r="D495" s="9">
        <v>2</v>
      </c>
      <c r="E495" s="10">
        <v>45308.657638888886</v>
      </c>
      <c r="F495" s="11">
        <v>13.98</v>
      </c>
      <c r="G495" s="9">
        <v>12280</v>
      </c>
      <c r="H495" s="9" t="s">
        <v>18</v>
      </c>
    </row>
    <row r="496" spans="1:8" ht="15" thickBot="1" x14ac:dyDescent="0.35">
      <c r="A496" s="12">
        <v>50495</v>
      </c>
      <c r="B496" s="6">
        <v>20725</v>
      </c>
      <c r="C496" s="6" t="s">
        <v>19</v>
      </c>
      <c r="D496" s="6">
        <v>21</v>
      </c>
      <c r="E496" s="7">
        <v>45550.615277777775</v>
      </c>
      <c r="F496" s="8">
        <v>1.8</v>
      </c>
      <c r="G496" s="6">
        <v>12247</v>
      </c>
      <c r="H496" s="6" t="s">
        <v>18</v>
      </c>
    </row>
    <row r="497" spans="1:8" ht="15" thickBot="1" x14ac:dyDescent="0.35">
      <c r="A497" s="13">
        <v>50496</v>
      </c>
      <c r="B497" s="9">
        <v>23203</v>
      </c>
      <c r="C497" s="9" t="s">
        <v>30</v>
      </c>
      <c r="D497" s="9">
        <v>6</v>
      </c>
      <c r="E497" s="10">
        <v>45596.65</v>
      </c>
      <c r="F497" s="11">
        <v>2.11</v>
      </c>
      <c r="G497" s="9">
        <v>12564</v>
      </c>
      <c r="H497" s="9" t="s">
        <v>18</v>
      </c>
    </row>
    <row r="498" spans="1:8" ht="15" thickBot="1" x14ac:dyDescent="0.35">
      <c r="A498" s="12">
        <v>50497</v>
      </c>
      <c r="B498" s="6">
        <v>21212</v>
      </c>
      <c r="C498" s="6" t="s">
        <v>21</v>
      </c>
      <c r="D498" s="6">
        <v>24</v>
      </c>
      <c r="E498" s="7">
        <v>45375.51666666667</v>
      </c>
      <c r="F498" s="8">
        <v>0.48</v>
      </c>
      <c r="G498" s="6">
        <v>12028</v>
      </c>
      <c r="H498" s="6" t="s">
        <v>26</v>
      </c>
    </row>
    <row r="499" spans="1:8" ht="15" thickBot="1" x14ac:dyDescent="0.35">
      <c r="A499" s="13">
        <v>50498</v>
      </c>
      <c r="B499" s="9">
        <v>71053</v>
      </c>
      <c r="C499" s="9" t="s">
        <v>38</v>
      </c>
      <c r="D499" s="9">
        <v>7</v>
      </c>
      <c r="E499" s="10">
        <v>45375.739583333336</v>
      </c>
      <c r="F499" s="11">
        <v>3.65</v>
      </c>
      <c r="G499" s="9">
        <v>12693</v>
      </c>
      <c r="H499" s="9" t="s">
        <v>37</v>
      </c>
    </row>
    <row r="500" spans="1:8" ht="15" thickBot="1" x14ac:dyDescent="0.35">
      <c r="A500" s="12" t="s">
        <v>83</v>
      </c>
      <c r="B500" s="6">
        <v>47566</v>
      </c>
      <c r="C500" s="6" t="s">
        <v>27</v>
      </c>
      <c r="D500" s="6">
        <v>-1</v>
      </c>
      <c r="E500" s="7">
        <v>45625.624305555553</v>
      </c>
      <c r="F500" s="8">
        <v>5.03</v>
      </c>
      <c r="G500" s="6">
        <v>12135</v>
      </c>
      <c r="H500" s="6" t="s">
        <v>23</v>
      </c>
    </row>
    <row r="501" spans="1:8" ht="15" thickBot="1" x14ac:dyDescent="0.35">
      <c r="A501" s="13">
        <v>50500</v>
      </c>
      <c r="B501" s="9">
        <v>84991</v>
      </c>
      <c r="C501" s="9" t="s">
        <v>25</v>
      </c>
      <c r="D501" s="9">
        <v>9</v>
      </c>
      <c r="E501" s="10">
        <v>45296.492361111108</v>
      </c>
      <c r="F501" s="11">
        <v>0.65</v>
      </c>
      <c r="G501" s="9">
        <v>12729</v>
      </c>
      <c r="H501" s="9" t="s">
        <v>22</v>
      </c>
    </row>
    <row r="502" spans="1:8" x14ac:dyDescent="0.3">
      <c r="A502" s="12">
        <v>50101</v>
      </c>
      <c r="B502" s="6">
        <v>84879</v>
      </c>
      <c r="C502" s="6" t="s">
        <v>45</v>
      </c>
      <c r="D502" s="6">
        <v>4</v>
      </c>
      <c r="E502" s="7">
        <v>45618.681944444441</v>
      </c>
      <c r="F502" s="8">
        <v>1.78</v>
      </c>
      <c r="G502" s="6">
        <v>12480</v>
      </c>
      <c r="H502" s="6" t="s">
        <v>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0F5F3-3723-457F-BC3D-564D95057B5C}">
  <dimension ref="A1:M501"/>
  <sheetViews>
    <sheetView topLeftCell="C1" workbookViewId="0">
      <selection activeCell="C154" sqref="C154"/>
    </sheetView>
  </sheetViews>
  <sheetFormatPr defaultRowHeight="14.4" x14ac:dyDescent="0.3"/>
  <cols>
    <col min="1" max="1" width="16.44140625" customWidth="1"/>
    <col min="2" max="2" width="15.21875" customWidth="1"/>
    <col min="3" max="3" width="45.88671875" customWidth="1"/>
    <col min="4" max="4" width="10.21875" customWidth="1"/>
    <col min="5" max="5" width="25" customWidth="1"/>
    <col min="6" max="6" width="10.5546875" customWidth="1"/>
    <col min="7" max="7" width="18.77734375" customWidth="1"/>
    <col min="8" max="8" width="13.88671875" customWidth="1"/>
    <col min="9" max="9" width="10.21875" customWidth="1"/>
    <col min="10" max="10" width="13.21875" customWidth="1"/>
    <col min="12" max="13" width="18.44140625" customWidth="1"/>
  </cols>
  <sheetData>
    <row r="1" spans="1:13" ht="15" thickBot="1" x14ac:dyDescent="0.35">
      <c r="A1" s="1" t="s">
        <v>0</v>
      </c>
      <c r="B1" s="2" t="s">
        <v>1</v>
      </c>
      <c r="C1" s="2" t="s">
        <v>2</v>
      </c>
      <c r="D1" s="2" t="s">
        <v>3</v>
      </c>
      <c r="E1" s="2" t="s">
        <v>4</v>
      </c>
      <c r="F1" s="2" t="s">
        <v>5</v>
      </c>
      <c r="G1" s="2" t="s">
        <v>6</v>
      </c>
      <c r="H1" s="2" t="s">
        <v>7</v>
      </c>
      <c r="I1" s="2" t="s">
        <v>84</v>
      </c>
      <c r="J1" s="2" t="s">
        <v>85</v>
      </c>
      <c r="K1" s="2" t="s">
        <v>86</v>
      </c>
      <c r="L1" s="2" t="s">
        <v>87</v>
      </c>
      <c r="M1" s="3" t="s">
        <v>88</v>
      </c>
    </row>
    <row r="2" spans="1:13" ht="15" thickBot="1" x14ac:dyDescent="0.35">
      <c r="A2" s="17">
        <v>50001</v>
      </c>
      <c r="B2" s="14" t="s">
        <v>8</v>
      </c>
      <c r="C2" s="14" t="s">
        <v>9</v>
      </c>
      <c r="D2" s="14">
        <v>8</v>
      </c>
      <c r="E2" s="15">
        <v>45304.52847222222</v>
      </c>
      <c r="F2" s="16">
        <v>3.76</v>
      </c>
      <c r="G2" s="14">
        <v>12692</v>
      </c>
      <c r="H2" s="14" t="s">
        <v>10</v>
      </c>
      <c r="I2" s="16">
        <f t="shared" ref="I2:I65" si="0">D2*F2</f>
        <v>30.08</v>
      </c>
      <c r="J2" s="14" t="str">
        <f t="shared" ref="J2:J65" si="1">TEXT(E2,"mmm")</f>
        <v>Jan</v>
      </c>
      <c r="K2" s="14">
        <f>YEAR(E2)</f>
        <v>2024</v>
      </c>
      <c r="L2" s="14" t="str">
        <f>IF(OR(LEFT(A2,1)="C",D2&lt;0),"Cancelled","Completed")</f>
        <v>Completed</v>
      </c>
      <c r="M2" s="18" t="str">
        <f t="shared" ref="M2:M65" si="2">IF(G2=0,"Unknown",IF(MOD(G2,3)=0,"Wholesale",IF(MOD(G2,2)=0,"Returning","New")))</f>
        <v>Returning</v>
      </c>
    </row>
    <row r="3" spans="1:13" ht="15" thickBot="1" x14ac:dyDescent="0.35">
      <c r="A3" s="17" t="s">
        <v>11</v>
      </c>
      <c r="B3" s="14" t="s">
        <v>12</v>
      </c>
      <c r="C3" s="14" t="s">
        <v>13</v>
      </c>
      <c r="D3" s="14">
        <v>-1</v>
      </c>
      <c r="E3" s="15">
        <v>45594.633333333331</v>
      </c>
      <c r="F3" s="16">
        <v>2.56</v>
      </c>
      <c r="G3" s="14">
        <v>12616</v>
      </c>
      <c r="H3" s="14" t="s">
        <v>14</v>
      </c>
      <c r="I3" s="16">
        <f t="shared" si="0"/>
        <v>-2.56</v>
      </c>
      <c r="J3" s="14" t="str">
        <f t="shared" si="1"/>
        <v>Oct</v>
      </c>
      <c r="K3" s="14">
        <f t="shared" ref="K3:K66" si="3">YEAR(E3)</f>
        <v>2024</v>
      </c>
      <c r="L3" s="14" t="str">
        <f t="shared" ref="L3:L66" si="4">IF(OR(LEFT(A3,1)="C",D3&lt;0),"Cancelled","Completed")</f>
        <v>Cancelled</v>
      </c>
      <c r="M3" s="18" t="str">
        <f t="shared" si="2"/>
        <v>Returning</v>
      </c>
    </row>
    <row r="4" spans="1:13" ht="15" thickBot="1" x14ac:dyDescent="0.35">
      <c r="A4" s="17">
        <v>50003</v>
      </c>
      <c r="B4" s="14" t="s">
        <v>15</v>
      </c>
      <c r="C4" s="14" t="s">
        <v>16</v>
      </c>
      <c r="D4" s="14">
        <v>14</v>
      </c>
      <c r="E4" s="15">
        <v>45393.720833333333</v>
      </c>
      <c r="F4" s="16">
        <v>3.12</v>
      </c>
      <c r="G4" s="14">
        <v>12828</v>
      </c>
      <c r="H4" s="14" t="s">
        <v>14</v>
      </c>
      <c r="I4" s="16">
        <f t="shared" si="0"/>
        <v>43.68</v>
      </c>
      <c r="J4" s="14" t="str">
        <f t="shared" si="1"/>
        <v>Apr</v>
      </c>
      <c r="K4" s="14">
        <f t="shared" si="3"/>
        <v>2024</v>
      </c>
      <c r="L4" s="14" t="str">
        <f t="shared" si="4"/>
        <v>Completed</v>
      </c>
      <c r="M4" s="18" t="str">
        <f t="shared" si="2"/>
        <v>Wholesale</v>
      </c>
    </row>
    <row r="5" spans="1:13" ht="15" thickBot="1" x14ac:dyDescent="0.35">
      <c r="A5" s="17">
        <v>50004</v>
      </c>
      <c r="B5" s="14">
        <v>22720</v>
      </c>
      <c r="C5" s="14" t="s">
        <v>17</v>
      </c>
      <c r="D5" s="14">
        <v>11</v>
      </c>
      <c r="E5" s="15">
        <v>45649.633333333331</v>
      </c>
      <c r="F5" s="16">
        <v>4.58</v>
      </c>
      <c r="G5" s="14">
        <v>12781</v>
      </c>
      <c r="H5" s="14" t="s">
        <v>18</v>
      </c>
      <c r="I5" s="16">
        <f t="shared" si="0"/>
        <v>50.38</v>
      </c>
      <c r="J5" s="14" t="str">
        <f t="shared" si="1"/>
        <v>Dec</v>
      </c>
      <c r="K5" s="14">
        <f t="shared" si="3"/>
        <v>2024</v>
      </c>
      <c r="L5" s="14" t="str">
        <f t="shared" si="4"/>
        <v>Completed</v>
      </c>
      <c r="M5" s="18" t="str">
        <f t="shared" si="2"/>
        <v>New</v>
      </c>
    </row>
    <row r="6" spans="1:13" ht="15" thickBot="1" x14ac:dyDescent="0.35">
      <c r="A6" s="17">
        <v>50005</v>
      </c>
      <c r="B6" s="14" t="s">
        <v>8</v>
      </c>
      <c r="C6" s="14" t="s">
        <v>9</v>
      </c>
      <c r="D6" s="14">
        <v>4</v>
      </c>
      <c r="E6" s="15">
        <v>45339.603472222225</v>
      </c>
      <c r="F6" s="16">
        <v>3.29</v>
      </c>
      <c r="G6" s="14">
        <v>12270</v>
      </c>
      <c r="H6" s="14" t="s">
        <v>14</v>
      </c>
      <c r="I6" s="16">
        <f t="shared" si="0"/>
        <v>13.16</v>
      </c>
      <c r="J6" s="14" t="str">
        <f t="shared" si="1"/>
        <v>Feb</v>
      </c>
      <c r="K6" s="14">
        <f t="shared" si="3"/>
        <v>2024</v>
      </c>
      <c r="L6" s="14" t="str">
        <f t="shared" si="4"/>
        <v>Completed</v>
      </c>
      <c r="M6" s="18" t="str">
        <f t="shared" si="2"/>
        <v>Wholesale</v>
      </c>
    </row>
    <row r="7" spans="1:13" ht="15" thickBot="1" x14ac:dyDescent="0.35">
      <c r="A7" s="17">
        <v>50006</v>
      </c>
      <c r="B7" s="14">
        <v>20725</v>
      </c>
      <c r="C7" s="14" t="s">
        <v>19</v>
      </c>
      <c r="D7" s="14">
        <v>13</v>
      </c>
      <c r="E7" s="15">
        <v>45566.421527777777</v>
      </c>
      <c r="F7" s="16">
        <v>1.57</v>
      </c>
      <c r="G7" s="14">
        <v>12643</v>
      </c>
      <c r="H7" s="14" t="s">
        <v>20</v>
      </c>
      <c r="I7" s="16">
        <f t="shared" si="0"/>
        <v>20.41</v>
      </c>
      <c r="J7" s="14" t="str">
        <f t="shared" si="1"/>
        <v>Oct</v>
      </c>
      <c r="K7" s="14">
        <f t="shared" si="3"/>
        <v>2024</v>
      </c>
      <c r="L7" s="14" t="str">
        <f t="shared" si="4"/>
        <v>Completed</v>
      </c>
      <c r="M7" s="18" t="str">
        <f t="shared" si="2"/>
        <v>New</v>
      </c>
    </row>
    <row r="8" spans="1:13" ht="15" thickBot="1" x14ac:dyDescent="0.35">
      <c r="A8" s="17">
        <v>50007</v>
      </c>
      <c r="B8" s="14">
        <v>21212</v>
      </c>
      <c r="C8" s="14" t="s">
        <v>21</v>
      </c>
      <c r="D8" s="14">
        <v>23</v>
      </c>
      <c r="E8" s="15">
        <v>45587.469444444447</v>
      </c>
      <c r="F8" s="16">
        <v>0.59</v>
      </c>
      <c r="G8" s="14">
        <v>12791</v>
      </c>
      <c r="H8" s="14" t="s">
        <v>22</v>
      </c>
      <c r="I8" s="16">
        <f t="shared" si="0"/>
        <v>13.569999999999999</v>
      </c>
      <c r="J8" s="14" t="str">
        <f t="shared" si="1"/>
        <v>Oct</v>
      </c>
      <c r="K8" s="14">
        <f t="shared" si="3"/>
        <v>2024</v>
      </c>
      <c r="L8" s="14" t="str">
        <f t="shared" si="4"/>
        <v>Completed</v>
      </c>
      <c r="M8" s="18" t="str">
        <f t="shared" si="2"/>
        <v>New</v>
      </c>
    </row>
    <row r="9" spans="1:13" ht="15" thickBot="1" x14ac:dyDescent="0.35">
      <c r="A9" s="17">
        <v>50008</v>
      </c>
      <c r="B9" s="14" t="s">
        <v>12</v>
      </c>
      <c r="C9" s="14" t="s">
        <v>13</v>
      </c>
      <c r="D9" s="14">
        <v>13</v>
      </c>
      <c r="E9" s="15">
        <v>45411.404861111114</v>
      </c>
      <c r="F9" s="16">
        <v>2.95</v>
      </c>
      <c r="G9" s="14">
        <v>12373</v>
      </c>
      <c r="H9" s="14" t="s">
        <v>23</v>
      </c>
      <c r="I9" s="16">
        <f t="shared" si="0"/>
        <v>38.35</v>
      </c>
      <c r="J9" s="14" t="str">
        <f t="shared" si="1"/>
        <v>Apr</v>
      </c>
      <c r="K9" s="14">
        <f t="shared" si="3"/>
        <v>2024</v>
      </c>
      <c r="L9" s="14" t="str">
        <f t="shared" si="4"/>
        <v>Completed</v>
      </c>
      <c r="M9" s="18" t="str">
        <f t="shared" si="2"/>
        <v>New</v>
      </c>
    </row>
    <row r="10" spans="1:13" ht="15" thickBot="1" x14ac:dyDescent="0.35">
      <c r="A10" s="17">
        <v>50009</v>
      </c>
      <c r="B10" s="14">
        <v>21212</v>
      </c>
      <c r="C10" s="14" t="s">
        <v>21</v>
      </c>
      <c r="D10" s="14">
        <v>22</v>
      </c>
      <c r="E10" s="15">
        <v>45473.481944444444</v>
      </c>
      <c r="F10" s="16">
        <v>0.65</v>
      </c>
      <c r="G10" s="14">
        <v>12663</v>
      </c>
      <c r="H10" s="14" t="s">
        <v>24</v>
      </c>
      <c r="I10" s="16">
        <f t="shared" si="0"/>
        <v>14.3</v>
      </c>
      <c r="J10" s="14" t="str">
        <f t="shared" si="1"/>
        <v>Jun</v>
      </c>
      <c r="K10" s="14">
        <f t="shared" si="3"/>
        <v>2024</v>
      </c>
      <c r="L10" s="14" t="str">
        <f t="shared" si="4"/>
        <v>Completed</v>
      </c>
      <c r="M10" s="18" t="str">
        <f t="shared" si="2"/>
        <v>Wholesale</v>
      </c>
    </row>
    <row r="11" spans="1:13" ht="15" thickBot="1" x14ac:dyDescent="0.35">
      <c r="A11" s="17">
        <v>50010</v>
      </c>
      <c r="B11" s="14">
        <v>84991</v>
      </c>
      <c r="C11" s="14" t="s">
        <v>25</v>
      </c>
      <c r="D11" s="14">
        <v>18</v>
      </c>
      <c r="E11" s="15">
        <v>45617.454861111109</v>
      </c>
      <c r="F11" s="16">
        <v>0.5</v>
      </c>
      <c r="G11" s="14">
        <v>12388</v>
      </c>
      <c r="H11" s="14" t="s">
        <v>22</v>
      </c>
      <c r="I11" s="16">
        <f t="shared" si="0"/>
        <v>9</v>
      </c>
      <c r="J11" s="14" t="str">
        <f t="shared" si="1"/>
        <v>Nov</v>
      </c>
      <c r="K11" s="14">
        <f t="shared" si="3"/>
        <v>2024</v>
      </c>
      <c r="L11" s="14" t="str">
        <f t="shared" si="4"/>
        <v>Completed</v>
      </c>
      <c r="M11" s="18" t="str">
        <f t="shared" si="2"/>
        <v>Returning</v>
      </c>
    </row>
    <row r="12" spans="1:13" ht="15" thickBot="1" x14ac:dyDescent="0.35">
      <c r="A12" s="17">
        <v>50011</v>
      </c>
      <c r="B12" s="14" t="s">
        <v>15</v>
      </c>
      <c r="C12" s="14" t="s">
        <v>16</v>
      </c>
      <c r="D12" s="14">
        <v>2</v>
      </c>
      <c r="E12" s="15">
        <v>45404.563888888886</v>
      </c>
      <c r="F12" s="16">
        <v>2.54</v>
      </c>
      <c r="G12" s="14">
        <v>12323</v>
      </c>
      <c r="H12" s="14" t="s">
        <v>26</v>
      </c>
      <c r="I12" s="16">
        <f t="shared" si="0"/>
        <v>5.08</v>
      </c>
      <c r="J12" s="14" t="str">
        <f t="shared" si="1"/>
        <v>Apr</v>
      </c>
      <c r="K12" s="14">
        <f t="shared" si="3"/>
        <v>2024</v>
      </c>
      <c r="L12" s="14" t="str">
        <f t="shared" si="4"/>
        <v>Completed</v>
      </c>
      <c r="M12" s="18" t="str">
        <f t="shared" si="2"/>
        <v>New</v>
      </c>
    </row>
    <row r="13" spans="1:13" ht="15" thickBot="1" x14ac:dyDescent="0.35">
      <c r="A13" s="17">
        <v>50012</v>
      </c>
      <c r="B13" s="14">
        <v>47566</v>
      </c>
      <c r="C13" s="14" t="s">
        <v>27</v>
      </c>
      <c r="D13" s="14">
        <v>19</v>
      </c>
      <c r="E13" s="15">
        <v>45325.48333333333</v>
      </c>
      <c r="F13" s="16">
        <v>4.75</v>
      </c>
      <c r="G13" s="14">
        <v>12671</v>
      </c>
      <c r="H13" s="14" t="s">
        <v>28</v>
      </c>
      <c r="I13" s="16">
        <f t="shared" si="0"/>
        <v>90.25</v>
      </c>
      <c r="J13" s="14" t="str">
        <f t="shared" si="1"/>
        <v>Feb</v>
      </c>
      <c r="K13" s="14">
        <f t="shared" si="3"/>
        <v>2024</v>
      </c>
      <c r="L13" s="14" t="str">
        <f t="shared" si="4"/>
        <v>Completed</v>
      </c>
      <c r="M13" s="18" t="str">
        <f t="shared" si="2"/>
        <v>New</v>
      </c>
    </row>
    <row r="14" spans="1:13" ht="15" thickBot="1" x14ac:dyDescent="0.35">
      <c r="A14" s="17">
        <v>50013</v>
      </c>
      <c r="B14" s="14">
        <v>22386</v>
      </c>
      <c r="C14" s="14" t="s">
        <v>29</v>
      </c>
      <c r="D14" s="14">
        <v>5</v>
      </c>
      <c r="E14" s="15">
        <v>45621.65902777778</v>
      </c>
      <c r="F14" s="16">
        <v>1.83</v>
      </c>
      <c r="G14" s="14">
        <v>12574</v>
      </c>
      <c r="H14" s="14" t="s">
        <v>10</v>
      </c>
      <c r="I14" s="16">
        <f t="shared" si="0"/>
        <v>9.15</v>
      </c>
      <c r="J14" s="14" t="str">
        <f t="shared" si="1"/>
        <v>Nov</v>
      </c>
      <c r="K14" s="14">
        <f t="shared" si="3"/>
        <v>2024</v>
      </c>
      <c r="L14" s="14" t="str">
        <f t="shared" si="4"/>
        <v>Completed</v>
      </c>
      <c r="M14" s="18" t="str">
        <f t="shared" si="2"/>
        <v>Returning</v>
      </c>
    </row>
    <row r="15" spans="1:13" ht="15" thickBot="1" x14ac:dyDescent="0.35">
      <c r="A15" s="17">
        <v>50014</v>
      </c>
      <c r="B15" s="14">
        <v>47566</v>
      </c>
      <c r="C15" s="14" t="s">
        <v>27</v>
      </c>
      <c r="D15" s="14">
        <v>19</v>
      </c>
      <c r="E15" s="15">
        <v>45591.637499999997</v>
      </c>
      <c r="F15" s="16">
        <v>4.59</v>
      </c>
      <c r="G15" s="14">
        <v>12141</v>
      </c>
      <c r="H15" s="14" t="s">
        <v>10</v>
      </c>
      <c r="I15" s="16">
        <f t="shared" si="0"/>
        <v>87.21</v>
      </c>
      <c r="J15" s="14" t="str">
        <f t="shared" si="1"/>
        <v>Oct</v>
      </c>
      <c r="K15" s="14">
        <f t="shared" si="3"/>
        <v>2024</v>
      </c>
      <c r="L15" s="14" t="str">
        <f t="shared" si="4"/>
        <v>Completed</v>
      </c>
      <c r="M15" s="18" t="str">
        <f t="shared" si="2"/>
        <v>Wholesale</v>
      </c>
    </row>
    <row r="16" spans="1:13" ht="15" thickBot="1" x14ac:dyDescent="0.35">
      <c r="A16" s="17">
        <v>50015</v>
      </c>
      <c r="B16" s="14">
        <v>23203</v>
      </c>
      <c r="C16" s="14" t="s">
        <v>30</v>
      </c>
      <c r="D16" s="14">
        <v>4</v>
      </c>
      <c r="E16" s="15">
        <v>45338.366666666669</v>
      </c>
      <c r="F16" s="16">
        <v>1.88</v>
      </c>
      <c r="G16" s="14">
        <v>12696</v>
      </c>
      <c r="H16" s="14" t="s">
        <v>26</v>
      </c>
      <c r="I16" s="16">
        <f t="shared" si="0"/>
        <v>7.52</v>
      </c>
      <c r="J16" s="14" t="str">
        <f t="shared" si="1"/>
        <v>Feb</v>
      </c>
      <c r="K16" s="14">
        <f t="shared" si="3"/>
        <v>2024</v>
      </c>
      <c r="L16" s="14" t="str">
        <f t="shared" si="4"/>
        <v>Completed</v>
      </c>
      <c r="M16" s="18" t="str">
        <f t="shared" si="2"/>
        <v>Wholesale</v>
      </c>
    </row>
    <row r="17" spans="1:13" ht="15" thickBot="1" x14ac:dyDescent="0.35">
      <c r="A17" s="17">
        <v>50016</v>
      </c>
      <c r="B17" s="14">
        <v>84991</v>
      </c>
      <c r="C17" s="14" t="s">
        <v>25</v>
      </c>
      <c r="D17" s="14">
        <v>13</v>
      </c>
      <c r="E17" s="15">
        <v>45324.606944444444</v>
      </c>
      <c r="F17" s="16">
        <v>0.56000000000000005</v>
      </c>
      <c r="G17" s="14">
        <v>12257</v>
      </c>
      <c r="H17" s="14" t="s">
        <v>10</v>
      </c>
      <c r="I17" s="16">
        <f t="shared" si="0"/>
        <v>7.2800000000000011</v>
      </c>
      <c r="J17" s="14" t="str">
        <f t="shared" si="1"/>
        <v>Feb</v>
      </c>
      <c r="K17" s="14">
        <f t="shared" si="3"/>
        <v>2024</v>
      </c>
      <c r="L17" s="14" t="str">
        <f t="shared" si="4"/>
        <v>Completed</v>
      </c>
      <c r="M17" s="18" t="str">
        <f t="shared" si="2"/>
        <v>New</v>
      </c>
    </row>
    <row r="18" spans="1:13" ht="15" thickBot="1" x14ac:dyDescent="0.35">
      <c r="A18" s="17">
        <v>50017</v>
      </c>
      <c r="B18" s="14" t="s">
        <v>31</v>
      </c>
      <c r="C18" s="14" t="s">
        <v>32</v>
      </c>
      <c r="D18" s="14">
        <v>22</v>
      </c>
      <c r="E18" s="15">
        <v>45640.414583333331</v>
      </c>
      <c r="F18" s="16">
        <v>2.84</v>
      </c>
      <c r="G18" s="14">
        <v>12787</v>
      </c>
      <c r="H18" s="14" t="s">
        <v>18</v>
      </c>
      <c r="I18" s="16">
        <f t="shared" si="0"/>
        <v>62.48</v>
      </c>
      <c r="J18" s="14" t="str">
        <f t="shared" si="1"/>
        <v>Dec</v>
      </c>
      <c r="K18" s="14">
        <f t="shared" si="3"/>
        <v>2024</v>
      </c>
      <c r="L18" s="14" t="str">
        <f t="shared" si="4"/>
        <v>Completed</v>
      </c>
      <c r="M18" s="18" t="str">
        <f t="shared" si="2"/>
        <v>New</v>
      </c>
    </row>
    <row r="19" spans="1:13" ht="15" thickBot="1" x14ac:dyDescent="0.35">
      <c r="A19" s="17">
        <v>50018</v>
      </c>
      <c r="B19" s="14" t="s">
        <v>8</v>
      </c>
      <c r="C19" s="14" t="s">
        <v>9</v>
      </c>
      <c r="D19" s="14">
        <v>6</v>
      </c>
      <c r="E19" s="15">
        <v>45442.642361111109</v>
      </c>
      <c r="F19" s="16">
        <v>4.01</v>
      </c>
      <c r="G19" s="14">
        <v>0</v>
      </c>
      <c r="H19" s="14" t="s">
        <v>22</v>
      </c>
      <c r="I19" s="16">
        <f t="shared" si="0"/>
        <v>24.06</v>
      </c>
      <c r="J19" s="14" t="str">
        <f t="shared" si="1"/>
        <v>May</v>
      </c>
      <c r="K19" s="14">
        <f t="shared" si="3"/>
        <v>2024</v>
      </c>
      <c r="L19" s="14" t="str">
        <f t="shared" si="4"/>
        <v>Completed</v>
      </c>
      <c r="M19" s="18" t="str">
        <f t="shared" si="2"/>
        <v>Unknown</v>
      </c>
    </row>
    <row r="20" spans="1:13" ht="15" thickBot="1" x14ac:dyDescent="0.35">
      <c r="A20" s="17">
        <v>50019</v>
      </c>
      <c r="B20" s="14" t="s">
        <v>33</v>
      </c>
      <c r="C20" s="14" t="s">
        <v>34</v>
      </c>
      <c r="D20" s="14">
        <v>4</v>
      </c>
      <c r="E20" s="15">
        <v>45383.693749999999</v>
      </c>
      <c r="F20" s="16">
        <v>17.18</v>
      </c>
      <c r="G20" s="14">
        <v>12654</v>
      </c>
      <c r="H20" s="14" t="s">
        <v>10</v>
      </c>
      <c r="I20" s="16">
        <f t="shared" si="0"/>
        <v>68.72</v>
      </c>
      <c r="J20" s="14" t="str">
        <f t="shared" si="1"/>
        <v>Apr</v>
      </c>
      <c r="K20" s="14">
        <f t="shared" si="3"/>
        <v>2024</v>
      </c>
      <c r="L20" s="14" t="str">
        <f t="shared" si="4"/>
        <v>Completed</v>
      </c>
      <c r="M20" s="18" t="str">
        <f t="shared" si="2"/>
        <v>Wholesale</v>
      </c>
    </row>
    <row r="21" spans="1:13" ht="15" thickBot="1" x14ac:dyDescent="0.35">
      <c r="A21" s="17">
        <v>50020</v>
      </c>
      <c r="B21" s="14">
        <v>84991</v>
      </c>
      <c r="C21" s="14" t="s">
        <v>25</v>
      </c>
      <c r="D21" s="14">
        <v>12</v>
      </c>
      <c r="E21" s="15">
        <v>45393.441666666666</v>
      </c>
      <c r="F21" s="16">
        <v>0.56999999999999995</v>
      </c>
      <c r="G21" s="14">
        <v>12797</v>
      </c>
      <c r="H21" s="14" t="s">
        <v>10</v>
      </c>
      <c r="I21" s="16">
        <f t="shared" si="0"/>
        <v>6.84</v>
      </c>
      <c r="J21" s="14" t="str">
        <f t="shared" si="1"/>
        <v>Apr</v>
      </c>
      <c r="K21" s="14">
        <f t="shared" si="3"/>
        <v>2024</v>
      </c>
      <c r="L21" s="14" t="str">
        <f t="shared" si="4"/>
        <v>Completed</v>
      </c>
      <c r="M21" s="18" t="str">
        <f t="shared" si="2"/>
        <v>New</v>
      </c>
    </row>
    <row r="22" spans="1:13" ht="15" thickBot="1" x14ac:dyDescent="0.35">
      <c r="A22" s="17" t="s">
        <v>35</v>
      </c>
      <c r="B22" s="14" t="s">
        <v>31</v>
      </c>
      <c r="C22" s="14" t="s">
        <v>32</v>
      </c>
      <c r="D22" s="14">
        <v>-6</v>
      </c>
      <c r="E22" s="15">
        <v>45598.563194444447</v>
      </c>
      <c r="F22" s="16">
        <v>2.95</v>
      </c>
      <c r="G22" s="14">
        <v>12851</v>
      </c>
      <c r="H22" s="14" t="s">
        <v>22</v>
      </c>
      <c r="I22" s="16">
        <f t="shared" si="0"/>
        <v>-17.700000000000003</v>
      </c>
      <c r="J22" s="14" t="str">
        <f t="shared" si="1"/>
        <v>Nov</v>
      </c>
      <c r="K22" s="14">
        <f t="shared" si="3"/>
        <v>2024</v>
      </c>
      <c r="L22" s="14" t="str">
        <f t="shared" si="4"/>
        <v>Cancelled</v>
      </c>
      <c r="M22" s="18" t="str">
        <f t="shared" si="2"/>
        <v>New</v>
      </c>
    </row>
    <row r="23" spans="1:13" ht="15" thickBot="1" x14ac:dyDescent="0.35">
      <c r="A23" s="17">
        <v>50022</v>
      </c>
      <c r="B23" s="14">
        <v>22423</v>
      </c>
      <c r="C23" s="14" t="s">
        <v>36</v>
      </c>
      <c r="D23" s="14">
        <v>19</v>
      </c>
      <c r="E23" s="15">
        <v>45321.504166666666</v>
      </c>
      <c r="F23" s="16">
        <v>11.22</v>
      </c>
      <c r="G23" s="14">
        <v>12497</v>
      </c>
      <c r="H23" s="14" t="s">
        <v>24</v>
      </c>
      <c r="I23" s="16">
        <f t="shared" si="0"/>
        <v>213.18</v>
      </c>
      <c r="J23" s="14" t="str">
        <f t="shared" si="1"/>
        <v>Jan</v>
      </c>
      <c r="K23" s="14">
        <f t="shared" si="3"/>
        <v>2024</v>
      </c>
      <c r="L23" s="14" t="str">
        <f t="shared" si="4"/>
        <v>Completed</v>
      </c>
      <c r="M23" s="18" t="str">
        <f t="shared" si="2"/>
        <v>New</v>
      </c>
    </row>
    <row r="24" spans="1:13" ht="15" thickBot="1" x14ac:dyDescent="0.35">
      <c r="A24" s="17">
        <v>50023</v>
      </c>
      <c r="B24" s="14" t="s">
        <v>15</v>
      </c>
      <c r="C24" s="14" t="s">
        <v>16</v>
      </c>
      <c r="D24" s="14">
        <v>22</v>
      </c>
      <c r="E24" s="15">
        <v>45356.424305555556</v>
      </c>
      <c r="F24" s="16">
        <v>3.08</v>
      </c>
      <c r="G24" s="14">
        <v>12271</v>
      </c>
      <c r="H24" s="14" t="s">
        <v>10</v>
      </c>
      <c r="I24" s="16">
        <f t="shared" si="0"/>
        <v>67.760000000000005</v>
      </c>
      <c r="J24" s="14" t="str">
        <f t="shared" si="1"/>
        <v>Mar</v>
      </c>
      <c r="K24" s="14">
        <f t="shared" si="3"/>
        <v>2024</v>
      </c>
      <c r="L24" s="14" t="str">
        <f t="shared" si="4"/>
        <v>Completed</v>
      </c>
      <c r="M24" s="18" t="str">
        <f t="shared" si="2"/>
        <v>New</v>
      </c>
    </row>
    <row r="25" spans="1:13" ht="15" thickBot="1" x14ac:dyDescent="0.35">
      <c r="A25" s="17">
        <v>50024</v>
      </c>
      <c r="B25" s="14">
        <v>84991</v>
      </c>
      <c r="C25" s="14" t="s">
        <v>25</v>
      </c>
      <c r="D25" s="14">
        <v>18</v>
      </c>
      <c r="E25" s="15">
        <v>45508.48333333333</v>
      </c>
      <c r="F25" s="16">
        <v>0.6</v>
      </c>
      <c r="G25" s="14">
        <v>12730</v>
      </c>
      <c r="H25" s="14" t="s">
        <v>22</v>
      </c>
      <c r="I25" s="16">
        <f t="shared" si="0"/>
        <v>10.799999999999999</v>
      </c>
      <c r="J25" s="14" t="str">
        <f t="shared" si="1"/>
        <v>Aug</v>
      </c>
      <c r="K25" s="14">
        <f t="shared" si="3"/>
        <v>2024</v>
      </c>
      <c r="L25" s="14" t="str">
        <f t="shared" si="4"/>
        <v>Completed</v>
      </c>
      <c r="M25" s="18" t="str">
        <f t="shared" si="2"/>
        <v>Returning</v>
      </c>
    </row>
    <row r="26" spans="1:13" ht="15" thickBot="1" x14ac:dyDescent="0.35">
      <c r="A26" s="17">
        <v>50025</v>
      </c>
      <c r="B26" s="14">
        <v>22386</v>
      </c>
      <c r="C26" s="14" t="s">
        <v>29</v>
      </c>
      <c r="D26" s="14">
        <v>15</v>
      </c>
      <c r="E26" s="15">
        <v>45635.598611111112</v>
      </c>
      <c r="F26" s="16">
        <v>1.97</v>
      </c>
      <c r="G26" s="14">
        <v>12253</v>
      </c>
      <c r="H26" s="14" t="s">
        <v>37</v>
      </c>
      <c r="I26" s="16">
        <f t="shared" si="0"/>
        <v>29.55</v>
      </c>
      <c r="J26" s="14" t="str">
        <f t="shared" si="1"/>
        <v>Dec</v>
      </c>
      <c r="K26" s="14">
        <f t="shared" si="3"/>
        <v>2024</v>
      </c>
      <c r="L26" s="14" t="str">
        <f t="shared" si="4"/>
        <v>Completed</v>
      </c>
      <c r="M26" s="18" t="str">
        <f t="shared" si="2"/>
        <v>New</v>
      </c>
    </row>
    <row r="27" spans="1:13" ht="15" thickBot="1" x14ac:dyDescent="0.35">
      <c r="A27" s="17">
        <v>50026</v>
      </c>
      <c r="B27" s="14" t="s">
        <v>12</v>
      </c>
      <c r="C27" s="14" t="s">
        <v>13</v>
      </c>
      <c r="D27" s="14">
        <v>19</v>
      </c>
      <c r="E27" s="15">
        <v>45465.347916666666</v>
      </c>
      <c r="F27" s="16">
        <v>2.9</v>
      </c>
      <c r="G27" s="14">
        <v>12007</v>
      </c>
      <c r="H27" s="14" t="s">
        <v>24</v>
      </c>
      <c r="I27" s="16">
        <f t="shared" si="0"/>
        <v>55.1</v>
      </c>
      <c r="J27" s="14" t="str">
        <f t="shared" si="1"/>
        <v>Jun</v>
      </c>
      <c r="K27" s="14">
        <f t="shared" si="3"/>
        <v>2024</v>
      </c>
      <c r="L27" s="14" t="str">
        <f t="shared" si="4"/>
        <v>Completed</v>
      </c>
      <c r="M27" s="18" t="str">
        <f t="shared" si="2"/>
        <v>New</v>
      </c>
    </row>
    <row r="28" spans="1:13" ht="15" thickBot="1" x14ac:dyDescent="0.35">
      <c r="A28" s="17">
        <v>50027</v>
      </c>
      <c r="B28" s="14">
        <v>71053</v>
      </c>
      <c r="C28" s="14" t="s">
        <v>38</v>
      </c>
      <c r="D28" s="14">
        <v>2</v>
      </c>
      <c r="E28" s="15">
        <v>45409.381249999999</v>
      </c>
      <c r="F28" s="16">
        <v>2.97</v>
      </c>
      <c r="G28" s="14">
        <v>12243</v>
      </c>
      <c r="H28" s="14" t="s">
        <v>22</v>
      </c>
      <c r="I28" s="16">
        <f t="shared" si="0"/>
        <v>5.94</v>
      </c>
      <c r="J28" s="14" t="str">
        <f t="shared" si="1"/>
        <v>Apr</v>
      </c>
      <c r="K28" s="14">
        <f t="shared" si="3"/>
        <v>2024</v>
      </c>
      <c r="L28" s="14" t="str">
        <f t="shared" si="4"/>
        <v>Completed</v>
      </c>
      <c r="M28" s="18" t="str">
        <f t="shared" si="2"/>
        <v>Wholesale</v>
      </c>
    </row>
    <row r="29" spans="1:13" ht="15" thickBot="1" x14ac:dyDescent="0.35">
      <c r="A29" s="17">
        <v>50028</v>
      </c>
      <c r="B29" s="14">
        <v>23203</v>
      </c>
      <c r="C29" s="14" t="s">
        <v>30</v>
      </c>
      <c r="D29" s="14">
        <v>5</v>
      </c>
      <c r="E29" s="15">
        <v>45401.716666666667</v>
      </c>
      <c r="F29" s="16">
        <v>2.41</v>
      </c>
      <c r="G29" s="14">
        <v>12590</v>
      </c>
      <c r="H29" s="14" t="s">
        <v>28</v>
      </c>
      <c r="I29" s="16">
        <f t="shared" si="0"/>
        <v>12.05</v>
      </c>
      <c r="J29" s="14" t="str">
        <f t="shared" si="1"/>
        <v>Apr</v>
      </c>
      <c r="K29" s="14">
        <f t="shared" si="3"/>
        <v>2024</v>
      </c>
      <c r="L29" s="14" t="str">
        <f t="shared" si="4"/>
        <v>Completed</v>
      </c>
      <c r="M29" s="18" t="str">
        <f t="shared" si="2"/>
        <v>Returning</v>
      </c>
    </row>
    <row r="30" spans="1:13" ht="15" thickBot="1" x14ac:dyDescent="0.35">
      <c r="A30" s="17">
        <v>50029</v>
      </c>
      <c r="B30" s="14">
        <v>22423</v>
      </c>
      <c r="C30" s="14" t="s">
        <v>36</v>
      </c>
      <c r="D30" s="14">
        <v>7</v>
      </c>
      <c r="E30" s="15">
        <v>45534.62222222222</v>
      </c>
      <c r="F30" s="16">
        <v>13.78</v>
      </c>
      <c r="G30" s="14">
        <v>12362</v>
      </c>
      <c r="H30" s="14" t="s">
        <v>26</v>
      </c>
      <c r="I30" s="16">
        <f t="shared" si="0"/>
        <v>96.46</v>
      </c>
      <c r="J30" s="14" t="str">
        <f t="shared" si="1"/>
        <v>Aug</v>
      </c>
      <c r="K30" s="14">
        <f t="shared" si="3"/>
        <v>2024</v>
      </c>
      <c r="L30" s="14" t="str">
        <f t="shared" si="4"/>
        <v>Completed</v>
      </c>
      <c r="M30" s="18" t="str">
        <f t="shared" si="2"/>
        <v>Returning</v>
      </c>
    </row>
    <row r="31" spans="1:13" ht="15" thickBot="1" x14ac:dyDescent="0.35">
      <c r="A31" s="17">
        <v>50030</v>
      </c>
      <c r="B31" s="14" t="s">
        <v>39</v>
      </c>
      <c r="C31" s="14" t="s">
        <v>40</v>
      </c>
      <c r="D31" s="14">
        <v>22</v>
      </c>
      <c r="E31" s="15">
        <v>45531.371527777781</v>
      </c>
      <c r="F31" s="16">
        <v>2.2400000000000002</v>
      </c>
      <c r="G31" s="14">
        <v>12062</v>
      </c>
      <c r="H31" s="14" t="s">
        <v>26</v>
      </c>
      <c r="I31" s="16">
        <f t="shared" si="0"/>
        <v>49.28</v>
      </c>
      <c r="J31" s="14" t="str">
        <f t="shared" si="1"/>
        <v>Aug</v>
      </c>
      <c r="K31" s="14">
        <f t="shared" si="3"/>
        <v>2024</v>
      </c>
      <c r="L31" s="14" t="str">
        <f t="shared" si="4"/>
        <v>Completed</v>
      </c>
      <c r="M31" s="18" t="str">
        <f t="shared" si="2"/>
        <v>Returning</v>
      </c>
    </row>
    <row r="32" spans="1:13" ht="15" thickBot="1" x14ac:dyDescent="0.35">
      <c r="A32" s="17">
        <v>50031</v>
      </c>
      <c r="B32" s="14">
        <v>22086</v>
      </c>
      <c r="C32" s="14" t="s">
        <v>41</v>
      </c>
      <c r="D32" s="14">
        <v>7</v>
      </c>
      <c r="E32" s="15">
        <v>45347.509722222225</v>
      </c>
      <c r="F32" s="16">
        <v>2.97</v>
      </c>
      <c r="G32" s="14">
        <v>12432</v>
      </c>
      <c r="H32" s="14" t="s">
        <v>23</v>
      </c>
      <c r="I32" s="16">
        <f t="shared" si="0"/>
        <v>20.790000000000003</v>
      </c>
      <c r="J32" s="14" t="str">
        <f t="shared" si="1"/>
        <v>Feb</v>
      </c>
      <c r="K32" s="14">
        <f t="shared" si="3"/>
        <v>2024</v>
      </c>
      <c r="L32" s="14" t="str">
        <f t="shared" si="4"/>
        <v>Completed</v>
      </c>
      <c r="M32" s="18" t="str">
        <f t="shared" si="2"/>
        <v>Wholesale</v>
      </c>
    </row>
    <row r="33" spans="1:13" ht="15" thickBot="1" x14ac:dyDescent="0.35">
      <c r="A33" s="17">
        <v>50032</v>
      </c>
      <c r="B33" s="14">
        <v>47566</v>
      </c>
      <c r="C33" s="14" t="s">
        <v>27</v>
      </c>
      <c r="D33" s="14">
        <v>3</v>
      </c>
      <c r="E33" s="15">
        <v>45528.510416666664</v>
      </c>
      <c r="F33" s="16">
        <v>5.7</v>
      </c>
      <c r="G33" s="14">
        <v>12563</v>
      </c>
      <c r="H33" s="14" t="s">
        <v>24</v>
      </c>
      <c r="I33" s="16">
        <f t="shared" si="0"/>
        <v>17.100000000000001</v>
      </c>
      <c r="J33" s="14" t="str">
        <f t="shared" si="1"/>
        <v>Aug</v>
      </c>
      <c r="K33" s="14">
        <f t="shared" si="3"/>
        <v>2024</v>
      </c>
      <c r="L33" s="14" t="str">
        <f t="shared" si="4"/>
        <v>Completed</v>
      </c>
      <c r="M33" s="18" t="str">
        <f t="shared" si="2"/>
        <v>New</v>
      </c>
    </row>
    <row r="34" spans="1:13" ht="15" thickBot="1" x14ac:dyDescent="0.35">
      <c r="A34" s="17">
        <v>50033</v>
      </c>
      <c r="B34" s="14">
        <v>71053</v>
      </c>
      <c r="C34" s="14" t="s">
        <v>38</v>
      </c>
      <c r="D34" s="14">
        <v>1</v>
      </c>
      <c r="E34" s="15">
        <v>45625.717361111114</v>
      </c>
      <c r="F34" s="16">
        <v>3.98</v>
      </c>
      <c r="G34" s="14">
        <v>12869</v>
      </c>
      <c r="H34" s="14" t="s">
        <v>37</v>
      </c>
      <c r="I34" s="16">
        <f t="shared" si="0"/>
        <v>3.98</v>
      </c>
      <c r="J34" s="14" t="str">
        <f t="shared" si="1"/>
        <v>Nov</v>
      </c>
      <c r="K34" s="14">
        <f t="shared" si="3"/>
        <v>2024</v>
      </c>
      <c r="L34" s="14" t="str">
        <f t="shared" si="4"/>
        <v>Completed</v>
      </c>
      <c r="M34" s="18" t="str">
        <f t="shared" si="2"/>
        <v>New</v>
      </c>
    </row>
    <row r="35" spans="1:13" ht="15" thickBot="1" x14ac:dyDescent="0.35">
      <c r="A35" s="17">
        <v>50034</v>
      </c>
      <c r="B35" s="14">
        <v>22720</v>
      </c>
      <c r="C35" s="14" t="s">
        <v>17</v>
      </c>
      <c r="D35" s="14">
        <v>16</v>
      </c>
      <c r="E35" s="15">
        <v>45500.678472222222</v>
      </c>
      <c r="F35" s="16">
        <v>4.9000000000000004</v>
      </c>
      <c r="G35" s="14">
        <v>12060</v>
      </c>
      <c r="H35" s="14" t="s">
        <v>23</v>
      </c>
      <c r="I35" s="16">
        <f t="shared" si="0"/>
        <v>78.400000000000006</v>
      </c>
      <c r="J35" s="14" t="str">
        <f t="shared" si="1"/>
        <v>Jul</v>
      </c>
      <c r="K35" s="14">
        <f t="shared" si="3"/>
        <v>2024</v>
      </c>
      <c r="L35" s="14" t="str">
        <f t="shared" si="4"/>
        <v>Completed</v>
      </c>
      <c r="M35" s="18" t="str">
        <f t="shared" si="2"/>
        <v>Wholesale</v>
      </c>
    </row>
    <row r="36" spans="1:13" ht="15" thickBot="1" x14ac:dyDescent="0.35">
      <c r="A36" s="17">
        <v>50035</v>
      </c>
      <c r="B36" s="14">
        <v>22386</v>
      </c>
      <c r="C36" s="14" t="s">
        <v>29</v>
      </c>
      <c r="D36" s="14">
        <v>9</v>
      </c>
      <c r="E36" s="15">
        <v>45293.61041666667</v>
      </c>
      <c r="F36" s="16">
        <v>2.19</v>
      </c>
      <c r="G36" s="14">
        <v>12292</v>
      </c>
      <c r="H36" s="14" t="s">
        <v>26</v>
      </c>
      <c r="I36" s="16">
        <f t="shared" si="0"/>
        <v>19.71</v>
      </c>
      <c r="J36" s="14" t="str">
        <f t="shared" si="1"/>
        <v>Jan</v>
      </c>
      <c r="K36" s="14">
        <f t="shared" si="3"/>
        <v>2024</v>
      </c>
      <c r="L36" s="14" t="str">
        <f t="shared" si="4"/>
        <v>Completed</v>
      </c>
      <c r="M36" s="18" t="str">
        <f t="shared" si="2"/>
        <v>Returning</v>
      </c>
    </row>
    <row r="37" spans="1:13" ht="15" thickBot="1" x14ac:dyDescent="0.35">
      <c r="A37" s="17">
        <v>50036</v>
      </c>
      <c r="B37" s="14" t="s">
        <v>15</v>
      </c>
      <c r="C37" s="14" t="s">
        <v>16</v>
      </c>
      <c r="D37" s="14">
        <v>5</v>
      </c>
      <c r="E37" s="15">
        <v>45630.679166666669</v>
      </c>
      <c r="F37" s="16">
        <v>2.73</v>
      </c>
      <c r="G37" s="14">
        <v>12059</v>
      </c>
      <c r="H37" s="14" t="s">
        <v>20</v>
      </c>
      <c r="I37" s="16">
        <f t="shared" si="0"/>
        <v>13.65</v>
      </c>
      <c r="J37" s="14" t="str">
        <f t="shared" si="1"/>
        <v>Dec</v>
      </c>
      <c r="K37" s="14">
        <f t="shared" si="3"/>
        <v>2024</v>
      </c>
      <c r="L37" s="14" t="str">
        <f t="shared" si="4"/>
        <v>Completed</v>
      </c>
      <c r="M37" s="18" t="str">
        <f t="shared" si="2"/>
        <v>New</v>
      </c>
    </row>
    <row r="38" spans="1:13" ht="15" thickBot="1" x14ac:dyDescent="0.35">
      <c r="A38" s="17" t="s">
        <v>42</v>
      </c>
      <c r="B38" s="14" t="s">
        <v>15</v>
      </c>
      <c r="C38" s="14" t="s">
        <v>16</v>
      </c>
      <c r="D38" s="14">
        <v>-2</v>
      </c>
      <c r="E38" s="15">
        <v>45323.556250000001</v>
      </c>
      <c r="F38" s="16">
        <v>3.03</v>
      </c>
      <c r="G38" s="14">
        <v>12873</v>
      </c>
      <c r="H38" s="14" t="s">
        <v>10</v>
      </c>
      <c r="I38" s="16">
        <f t="shared" si="0"/>
        <v>-6.06</v>
      </c>
      <c r="J38" s="14" t="str">
        <f t="shared" si="1"/>
        <v>Feb</v>
      </c>
      <c r="K38" s="14">
        <f t="shared" si="3"/>
        <v>2024</v>
      </c>
      <c r="L38" s="14" t="str">
        <f t="shared" si="4"/>
        <v>Cancelled</v>
      </c>
      <c r="M38" s="18" t="str">
        <f t="shared" si="2"/>
        <v>Wholesale</v>
      </c>
    </row>
    <row r="39" spans="1:13" ht="15" thickBot="1" x14ac:dyDescent="0.35">
      <c r="A39" s="17">
        <v>50038</v>
      </c>
      <c r="B39" s="14">
        <v>22720</v>
      </c>
      <c r="C39" s="14" t="s">
        <v>17</v>
      </c>
      <c r="D39" s="14">
        <v>3</v>
      </c>
      <c r="E39" s="15">
        <v>45321.694444444445</v>
      </c>
      <c r="F39" s="16">
        <v>4.33</v>
      </c>
      <c r="G39" s="14">
        <v>12069</v>
      </c>
      <c r="H39" s="14" t="s">
        <v>37</v>
      </c>
      <c r="I39" s="16">
        <f t="shared" si="0"/>
        <v>12.99</v>
      </c>
      <c r="J39" s="14" t="str">
        <f t="shared" si="1"/>
        <v>Jan</v>
      </c>
      <c r="K39" s="14">
        <f t="shared" si="3"/>
        <v>2024</v>
      </c>
      <c r="L39" s="14" t="str">
        <f t="shared" si="4"/>
        <v>Completed</v>
      </c>
      <c r="M39" s="18" t="str">
        <f t="shared" si="2"/>
        <v>Wholesale</v>
      </c>
    </row>
    <row r="40" spans="1:13" ht="15" thickBot="1" x14ac:dyDescent="0.35">
      <c r="A40" s="17">
        <v>50039</v>
      </c>
      <c r="B40" s="14">
        <v>22386</v>
      </c>
      <c r="C40" s="14" t="s">
        <v>29</v>
      </c>
      <c r="D40" s="14">
        <v>8</v>
      </c>
      <c r="E40" s="15">
        <v>45353.738194444442</v>
      </c>
      <c r="F40" s="16">
        <v>1.68</v>
      </c>
      <c r="G40" s="14">
        <v>12083</v>
      </c>
      <c r="H40" s="14" t="s">
        <v>26</v>
      </c>
      <c r="I40" s="16">
        <f t="shared" si="0"/>
        <v>13.44</v>
      </c>
      <c r="J40" s="14" t="str">
        <f t="shared" si="1"/>
        <v>Mar</v>
      </c>
      <c r="K40" s="14">
        <f t="shared" si="3"/>
        <v>2024</v>
      </c>
      <c r="L40" s="14" t="str">
        <f t="shared" si="4"/>
        <v>Completed</v>
      </c>
      <c r="M40" s="18" t="str">
        <f t="shared" si="2"/>
        <v>New</v>
      </c>
    </row>
    <row r="41" spans="1:13" ht="15" thickBot="1" x14ac:dyDescent="0.35">
      <c r="A41" s="17">
        <v>50040</v>
      </c>
      <c r="B41" s="14" t="s">
        <v>43</v>
      </c>
      <c r="C41" s="14" t="s">
        <v>44</v>
      </c>
      <c r="D41" s="14">
        <v>11</v>
      </c>
      <c r="E41" s="15">
        <v>45581.704861111109</v>
      </c>
      <c r="F41" s="16">
        <v>1.1499999999999999</v>
      </c>
      <c r="G41" s="14">
        <v>12733</v>
      </c>
      <c r="H41" s="14" t="s">
        <v>18</v>
      </c>
      <c r="I41" s="16">
        <f t="shared" si="0"/>
        <v>12.649999999999999</v>
      </c>
      <c r="J41" s="14" t="str">
        <f t="shared" si="1"/>
        <v>Oct</v>
      </c>
      <c r="K41" s="14">
        <f t="shared" si="3"/>
        <v>2024</v>
      </c>
      <c r="L41" s="14" t="str">
        <f t="shared" si="4"/>
        <v>Completed</v>
      </c>
      <c r="M41" s="18" t="str">
        <f t="shared" si="2"/>
        <v>New</v>
      </c>
    </row>
    <row r="42" spans="1:13" ht="15" thickBot="1" x14ac:dyDescent="0.35">
      <c r="A42" s="17">
        <v>50041</v>
      </c>
      <c r="B42" s="14">
        <v>22423</v>
      </c>
      <c r="C42" s="14" t="s">
        <v>36</v>
      </c>
      <c r="D42" s="14">
        <v>5</v>
      </c>
      <c r="E42" s="15">
        <v>45427.614583333336</v>
      </c>
      <c r="F42" s="16">
        <v>12.18</v>
      </c>
      <c r="G42" s="14">
        <v>12323</v>
      </c>
      <c r="H42" s="14" t="s">
        <v>24</v>
      </c>
      <c r="I42" s="16">
        <f t="shared" si="0"/>
        <v>60.9</v>
      </c>
      <c r="J42" s="14" t="str">
        <f t="shared" si="1"/>
        <v>May</v>
      </c>
      <c r="K42" s="14">
        <f t="shared" si="3"/>
        <v>2024</v>
      </c>
      <c r="L42" s="14" t="str">
        <f t="shared" si="4"/>
        <v>Completed</v>
      </c>
      <c r="M42" s="18" t="str">
        <f t="shared" si="2"/>
        <v>New</v>
      </c>
    </row>
    <row r="43" spans="1:13" ht="15" thickBot="1" x14ac:dyDescent="0.35">
      <c r="A43" s="17">
        <v>50042</v>
      </c>
      <c r="B43" s="14" t="s">
        <v>31</v>
      </c>
      <c r="C43" s="14" t="s">
        <v>32</v>
      </c>
      <c r="D43" s="14">
        <v>4</v>
      </c>
      <c r="E43" s="15">
        <v>45526.73333333333</v>
      </c>
      <c r="F43" s="16">
        <v>2.36</v>
      </c>
      <c r="G43" s="14">
        <v>12271</v>
      </c>
      <c r="H43" s="14" t="s">
        <v>23</v>
      </c>
      <c r="I43" s="16">
        <f t="shared" si="0"/>
        <v>9.44</v>
      </c>
      <c r="J43" s="14" t="str">
        <f t="shared" si="1"/>
        <v>Aug</v>
      </c>
      <c r="K43" s="14">
        <f t="shared" si="3"/>
        <v>2024</v>
      </c>
      <c r="L43" s="14" t="str">
        <f t="shared" si="4"/>
        <v>Completed</v>
      </c>
      <c r="M43" s="18" t="str">
        <f t="shared" si="2"/>
        <v>New</v>
      </c>
    </row>
    <row r="44" spans="1:13" ht="15" thickBot="1" x14ac:dyDescent="0.35">
      <c r="A44" s="17">
        <v>50043</v>
      </c>
      <c r="B44" s="14">
        <v>21212</v>
      </c>
      <c r="C44" s="14" t="s">
        <v>21</v>
      </c>
      <c r="D44" s="14">
        <v>12</v>
      </c>
      <c r="E44" s="15">
        <v>45327.506944444445</v>
      </c>
      <c r="F44" s="16">
        <v>0.55000000000000004</v>
      </c>
      <c r="G44" s="14">
        <v>12556</v>
      </c>
      <c r="H44" s="14" t="s">
        <v>22</v>
      </c>
      <c r="I44" s="16">
        <f t="shared" si="0"/>
        <v>6.6000000000000005</v>
      </c>
      <c r="J44" s="14" t="str">
        <f t="shared" si="1"/>
        <v>Feb</v>
      </c>
      <c r="K44" s="14">
        <f t="shared" si="3"/>
        <v>2024</v>
      </c>
      <c r="L44" s="14" t="str">
        <f t="shared" si="4"/>
        <v>Completed</v>
      </c>
      <c r="M44" s="18" t="str">
        <f t="shared" si="2"/>
        <v>Returning</v>
      </c>
    </row>
    <row r="45" spans="1:13" ht="15" thickBot="1" x14ac:dyDescent="0.35">
      <c r="A45" s="17">
        <v>50044</v>
      </c>
      <c r="B45" s="14">
        <v>84991</v>
      </c>
      <c r="C45" s="14" t="s">
        <v>25</v>
      </c>
      <c r="D45" s="14">
        <v>1</v>
      </c>
      <c r="E45" s="15">
        <v>45626.709027777775</v>
      </c>
      <c r="F45" s="16">
        <v>0.56999999999999995</v>
      </c>
      <c r="G45" s="14">
        <v>12954</v>
      </c>
      <c r="H45" s="14" t="s">
        <v>24</v>
      </c>
      <c r="I45" s="16">
        <f t="shared" si="0"/>
        <v>0.56999999999999995</v>
      </c>
      <c r="J45" s="14" t="str">
        <f t="shared" si="1"/>
        <v>Nov</v>
      </c>
      <c r="K45" s="14">
        <f t="shared" si="3"/>
        <v>2024</v>
      </c>
      <c r="L45" s="14" t="str">
        <f t="shared" si="4"/>
        <v>Completed</v>
      </c>
      <c r="M45" s="18" t="str">
        <f t="shared" si="2"/>
        <v>Wholesale</v>
      </c>
    </row>
    <row r="46" spans="1:13" ht="15" thickBot="1" x14ac:dyDescent="0.35">
      <c r="A46" s="17">
        <v>50045</v>
      </c>
      <c r="B46" s="14">
        <v>84879</v>
      </c>
      <c r="C46" s="14" t="s">
        <v>45</v>
      </c>
      <c r="D46" s="14">
        <v>4</v>
      </c>
      <c r="E46" s="15">
        <v>45427.415277777778</v>
      </c>
      <c r="F46" s="16">
        <v>1.53</v>
      </c>
      <c r="G46" s="14">
        <v>12288</v>
      </c>
      <c r="H46" s="14" t="s">
        <v>20</v>
      </c>
      <c r="I46" s="16">
        <f t="shared" si="0"/>
        <v>6.12</v>
      </c>
      <c r="J46" s="14" t="str">
        <f t="shared" si="1"/>
        <v>May</v>
      </c>
      <c r="K46" s="14">
        <f t="shared" si="3"/>
        <v>2024</v>
      </c>
      <c r="L46" s="14" t="str">
        <f t="shared" si="4"/>
        <v>Completed</v>
      </c>
      <c r="M46" s="18" t="str">
        <f t="shared" si="2"/>
        <v>Wholesale</v>
      </c>
    </row>
    <row r="47" spans="1:13" ht="15" thickBot="1" x14ac:dyDescent="0.35">
      <c r="A47" s="17">
        <v>50046</v>
      </c>
      <c r="B47" s="14">
        <v>22727</v>
      </c>
      <c r="C47" s="14" t="s">
        <v>46</v>
      </c>
      <c r="D47" s="14">
        <v>22</v>
      </c>
      <c r="E47" s="15">
        <v>45467.477777777778</v>
      </c>
      <c r="F47" s="16">
        <v>3.53</v>
      </c>
      <c r="G47" s="14">
        <v>12500</v>
      </c>
      <c r="H47" s="14" t="s">
        <v>22</v>
      </c>
      <c r="I47" s="16">
        <f t="shared" si="0"/>
        <v>77.66</v>
      </c>
      <c r="J47" s="14" t="str">
        <f t="shared" si="1"/>
        <v>Jun</v>
      </c>
      <c r="K47" s="14">
        <f t="shared" si="3"/>
        <v>2024</v>
      </c>
      <c r="L47" s="14" t="str">
        <f t="shared" si="4"/>
        <v>Completed</v>
      </c>
      <c r="M47" s="18" t="str">
        <f t="shared" si="2"/>
        <v>Returning</v>
      </c>
    </row>
    <row r="48" spans="1:13" ht="15" thickBot="1" x14ac:dyDescent="0.35">
      <c r="A48" s="17" t="s">
        <v>47</v>
      </c>
      <c r="B48" s="14">
        <v>71053</v>
      </c>
      <c r="C48" s="14" t="s">
        <v>38</v>
      </c>
      <c r="D48" s="14">
        <v>-6</v>
      </c>
      <c r="E48" s="15">
        <v>45339.634027777778</v>
      </c>
      <c r="F48" s="16">
        <v>3.8</v>
      </c>
      <c r="G48" s="14">
        <v>12652</v>
      </c>
      <c r="H48" s="14" t="s">
        <v>22</v>
      </c>
      <c r="I48" s="16">
        <f t="shared" si="0"/>
        <v>-22.799999999999997</v>
      </c>
      <c r="J48" s="14" t="str">
        <f t="shared" si="1"/>
        <v>Feb</v>
      </c>
      <c r="K48" s="14">
        <f t="shared" si="3"/>
        <v>2024</v>
      </c>
      <c r="L48" s="14" t="str">
        <f t="shared" si="4"/>
        <v>Cancelled</v>
      </c>
      <c r="M48" s="18" t="str">
        <f t="shared" si="2"/>
        <v>Returning</v>
      </c>
    </row>
    <row r="49" spans="1:13" ht="15" thickBot="1" x14ac:dyDescent="0.35">
      <c r="A49" s="17">
        <v>50048</v>
      </c>
      <c r="B49" s="14">
        <v>22720</v>
      </c>
      <c r="C49" s="14" t="s">
        <v>17</v>
      </c>
      <c r="D49" s="14">
        <v>23</v>
      </c>
      <c r="E49" s="15">
        <v>45518.724999999999</v>
      </c>
      <c r="F49" s="16">
        <v>4.22</v>
      </c>
      <c r="G49" s="14">
        <v>12077</v>
      </c>
      <c r="H49" s="14" t="s">
        <v>23</v>
      </c>
      <c r="I49" s="16">
        <f t="shared" si="0"/>
        <v>97.059999999999988</v>
      </c>
      <c r="J49" s="14" t="str">
        <f t="shared" si="1"/>
        <v>Aug</v>
      </c>
      <c r="K49" s="14">
        <f t="shared" si="3"/>
        <v>2024</v>
      </c>
      <c r="L49" s="14" t="str">
        <f t="shared" si="4"/>
        <v>Completed</v>
      </c>
      <c r="M49" s="18" t="str">
        <f t="shared" si="2"/>
        <v>New</v>
      </c>
    </row>
    <row r="50" spans="1:13" ht="15" thickBot="1" x14ac:dyDescent="0.35">
      <c r="A50" s="17">
        <v>50049</v>
      </c>
      <c r="B50" s="14" t="s">
        <v>15</v>
      </c>
      <c r="C50" s="14" t="s">
        <v>16</v>
      </c>
      <c r="D50" s="14">
        <v>19</v>
      </c>
      <c r="E50" s="15">
        <v>45310.595833333333</v>
      </c>
      <c r="F50" s="16">
        <v>2.95</v>
      </c>
      <c r="G50" s="14">
        <v>12042</v>
      </c>
      <c r="H50" s="14" t="s">
        <v>22</v>
      </c>
      <c r="I50" s="16">
        <f t="shared" si="0"/>
        <v>56.050000000000004</v>
      </c>
      <c r="J50" s="14" t="str">
        <f t="shared" si="1"/>
        <v>Jan</v>
      </c>
      <c r="K50" s="14">
        <f t="shared" si="3"/>
        <v>2024</v>
      </c>
      <c r="L50" s="14" t="str">
        <f t="shared" si="4"/>
        <v>Completed</v>
      </c>
      <c r="M50" s="18" t="str">
        <f t="shared" si="2"/>
        <v>Wholesale</v>
      </c>
    </row>
    <row r="51" spans="1:13" ht="15" thickBot="1" x14ac:dyDescent="0.35">
      <c r="A51" s="17">
        <v>50050</v>
      </c>
      <c r="B51" s="14">
        <v>21212</v>
      </c>
      <c r="C51" s="14" t="s">
        <v>21</v>
      </c>
      <c r="D51" s="14">
        <v>7</v>
      </c>
      <c r="E51" s="15">
        <v>45312.587500000001</v>
      </c>
      <c r="F51" s="16">
        <v>0.6</v>
      </c>
      <c r="G51" s="14">
        <v>12362</v>
      </c>
      <c r="H51" s="14" t="s">
        <v>10</v>
      </c>
      <c r="I51" s="16">
        <f t="shared" si="0"/>
        <v>4.2</v>
      </c>
      <c r="J51" s="14" t="str">
        <f t="shared" si="1"/>
        <v>Jan</v>
      </c>
      <c r="K51" s="14">
        <f t="shared" si="3"/>
        <v>2024</v>
      </c>
      <c r="L51" s="14" t="str">
        <f t="shared" si="4"/>
        <v>Completed</v>
      </c>
      <c r="M51" s="18" t="str">
        <f t="shared" si="2"/>
        <v>Returning</v>
      </c>
    </row>
    <row r="52" spans="1:13" ht="15" thickBot="1" x14ac:dyDescent="0.35">
      <c r="A52" s="17">
        <v>50051</v>
      </c>
      <c r="B52" s="14" t="s">
        <v>39</v>
      </c>
      <c r="C52" s="14" t="s">
        <v>40</v>
      </c>
      <c r="D52" s="14">
        <v>8</v>
      </c>
      <c r="E52" s="15">
        <v>45609.443055555559</v>
      </c>
      <c r="F52" s="16">
        <v>2.48</v>
      </c>
      <c r="G52" s="14">
        <v>12830</v>
      </c>
      <c r="H52" s="14" t="s">
        <v>23</v>
      </c>
      <c r="I52" s="16">
        <f t="shared" si="0"/>
        <v>19.84</v>
      </c>
      <c r="J52" s="14" t="str">
        <f t="shared" si="1"/>
        <v>Nov</v>
      </c>
      <c r="K52" s="14">
        <f t="shared" si="3"/>
        <v>2024</v>
      </c>
      <c r="L52" s="14" t="str">
        <f t="shared" si="4"/>
        <v>Completed</v>
      </c>
      <c r="M52" s="18" t="str">
        <f t="shared" si="2"/>
        <v>Returning</v>
      </c>
    </row>
    <row r="53" spans="1:13" ht="15" thickBot="1" x14ac:dyDescent="0.35">
      <c r="A53" s="17">
        <v>50052</v>
      </c>
      <c r="B53" s="14" t="s">
        <v>39</v>
      </c>
      <c r="C53" s="14" t="s">
        <v>40</v>
      </c>
      <c r="D53" s="14">
        <v>24</v>
      </c>
      <c r="E53" s="15">
        <v>45304.460416666669</v>
      </c>
      <c r="F53" s="16">
        <v>2.34</v>
      </c>
      <c r="G53" s="14">
        <v>12421</v>
      </c>
      <c r="H53" s="14" t="s">
        <v>37</v>
      </c>
      <c r="I53" s="16">
        <f t="shared" si="0"/>
        <v>56.16</v>
      </c>
      <c r="J53" s="14" t="str">
        <f t="shared" si="1"/>
        <v>Jan</v>
      </c>
      <c r="K53" s="14">
        <f t="shared" si="3"/>
        <v>2024</v>
      </c>
      <c r="L53" s="14" t="str">
        <f t="shared" si="4"/>
        <v>Completed</v>
      </c>
      <c r="M53" s="18" t="str">
        <f t="shared" si="2"/>
        <v>New</v>
      </c>
    </row>
    <row r="54" spans="1:13" ht="15" thickBot="1" x14ac:dyDescent="0.35">
      <c r="A54" s="17">
        <v>50053</v>
      </c>
      <c r="B54" s="14">
        <v>47566</v>
      </c>
      <c r="C54" s="14" t="s">
        <v>27</v>
      </c>
      <c r="D54" s="14">
        <v>13</v>
      </c>
      <c r="E54" s="15">
        <v>45373.409722222219</v>
      </c>
      <c r="F54" s="16">
        <v>5.7</v>
      </c>
      <c r="G54" s="14">
        <v>12227</v>
      </c>
      <c r="H54" s="14" t="s">
        <v>37</v>
      </c>
      <c r="I54" s="16">
        <f t="shared" si="0"/>
        <v>74.100000000000009</v>
      </c>
      <c r="J54" s="14" t="str">
        <f t="shared" si="1"/>
        <v>Mar</v>
      </c>
      <c r="K54" s="14">
        <f t="shared" si="3"/>
        <v>2024</v>
      </c>
      <c r="L54" s="14" t="str">
        <f t="shared" si="4"/>
        <v>Completed</v>
      </c>
      <c r="M54" s="18" t="str">
        <f t="shared" si="2"/>
        <v>New</v>
      </c>
    </row>
    <row r="55" spans="1:13" ht="15" thickBot="1" x14ac:dyDescent="0.35">
      <c r="A55" s="17">
        <v>50054</v>
      </c>
      <c r="B55" s="14">
        <v>20725</v>
      </c>
      <c r="C55" s="14" t="s">
        <v>19</v>
      </c>
      <c r="D55" s="14">
        <v>8</v>
      </c>
      <c r="E55" s="15">
        <v>45471.55</v>
      </c>
      <c r="F55" s="16">
        <v>1.78</v>
      </c>
      <c r="G55" s="14">
        <v>12408</v>
      </c>
      <c r="H55" s="14" t="s">
        <v>18</v>
      </c>
      <c r="I55" s="16">
        <f t="shared" si="0"/>
        <v>14.24</v>
      </c>
      <c r="J55" s="14" t="str">
        <f t="shared" si="1"/>
        <v>Jun</v>
      </c>
      <c r="K55" s="14">
        <f t="shared" si="3"/>
        <v>2024</v>
      </c>
      <c r="L55" s="14" t="str">
        <f t="shared" si="4"/>
        <v>Completed</v>
      </c>
      <c r="M55" s="18" t="str">
        <f t="shared" si="2"/>
        <v>Wholesale</v>
      </c>
    </row>
    <row r="56" spans="1:13" ht="15" thickBot="1" x14ac:dyDescent="0.35">
      <c r="A56" s="17">
        <v>50055</v>
      </c>
      <c r="B56" s="14">
        <v>47566</v>
      </c>
      <c r="C56" s="14" t="s">
        <v>27</v>
      </c>
      <c r="D56" s="14">
        <v>12</v>
      </c>
      <c r="E56" s="15">
        <v>45327.53125</v>
      </c>
      <c r="F56" s="16">
        <v>4.9000000000000004</v>
      </c>
      <c r="G56" s="14">
        <v>12863</v>
      </c>
      <c r="H56" s="14" t="s">
        <v>10</v>
      </c>
      <c r="I56" s="16">
        <f t="shared" si="0"/>
        <v>58.800000000000004</v>
      </c>
      <c r="J56" s="14" t="str">
        <f t="shared" si="1"/>
        <v>Feb</v>
      </c>
      <c r="K56" s="14">
        <f t="shared" si="3"/>
        <v>2024</v>
      </c>
      <c r="L56" s="14" t="str">
        <f t="shared" si="4"/>
        <v>Completed</v>
      </c>
      <c r="M56" s="18" t="str">
        <f t="shared" si="2"/>
        <v>New</v>
      </c>
    </row>
    <row r="57" spans="1:13" ht="15" thickBot="1" x14ac:dyDescent="0.35">
      <c r="A57" s="17">
        <v>50056</v>
      </c>
      <c r="B57" s="14">
        <v>22086</v>
      </c>
      <c r="C57" s="14" t="s">
        <v>41</v>
      </c>
      <c r="D57" s="14">
        <v>9</v>
      </c>
      <c r="E57" s="15">
        <v>45306.415277777778</v>
      </c>
      <c r="F57" s="16">
        <v>3.5</v>
      </c>
      <c r="G57" s="14">
        <v>12271</v>
      </c>
      <c r="H57" s="14" t="s">
        <v>14</v>
      </c>
      <c r="I57" s="16">
        <f t="shared" si="0"/>
        <v>31.5</v>
      </c>
      <c r="J57" s="14" t="str">
        <f t="shared" si="1"/>
        <v>Jan</v>
      </c>
      <c r="K57" s="14">
        <f t="shared" si="3"/>
        <v>2024</v>
      </c>
      <c r="L57" s="14" t="str">
        <f t="shared" si="4"/>
        <v>Completed</v>
      </c>
      <c r="M57" s="18" t="str">
        <f t="shared" si="2"/>
        <v>New</v>
      </c>
    </row>
    <row r="58" spans="1:13" ht="15" thickBot="1" x14ac:dyDescent="0.35">
      <c r="A58" s="17">
        <v>50057</v>
      </c>
      <c r="B58" s="14" t="s">
        <v>8</v>
      </c>
      <c r="C58" s="14" t="s">
        <v>9</v>
      </c>
      <c r="D58" s="14">
        <v>12</v>
      </c>
      <c r="E58" s="15">
        <v>45597.64166666667</v>
      </c>
      <c r="F58" s="16">
        <v>3.25</v>
      </c>
      <c r="G58" s="14">
        <v>12620</v>
      </c>
      <c r="H58" s="14" t="s">
        <v>10</v>
      </c>
      <c r="I58" s="16">
        <f t="shared" si="0"/>
        <v>39</v>
      </c>
      <c r="J58" s="14" t="str">
        <f t="shared" si="1"/>
        <v>Nov</v>
      </c>
      <c r="K58" s="14">
        <f t="shared" si="3"/>
        <v>2024</v>
      </c>
      <c r="L58" s="14" t="str">
        <f t="shared" si="4"/>
        <v>Completed</v>
      </c>
      <c r="M58" s="18" t="str">
        <f t="shared" si="2"/>
        <v>Returning</v>
      </c>
    </row>
    <row r="59" spans="1:13" ht="15" thickBot="1" x14ac:dyDescent="0.35">
      <c r="A59" s="17">
        <v>50058</v>
      </c>
      <c r="B59" s="14" t="s">
        <v>8</v>
      </c>
      <c r="C59" s="14" t="s">
        <v>9</v>
      </c>
      <c r="D59" s="14">
        <v>7</v>
      </c>
      <c r="E59" s="15">
        <v>45489.743055555555</v>
      </c>
      <c r="F59" s="16">
        <v>3.72</v>
      </c>
      <c r="G59" s="14">
        <v>12001</v>
      </c>
      <c r="H59" s="14" t="s">
        <v>10</v>
      </c>
      <c r="I59" s="16">
        <f t="shared" si="0"/>
        <v>26.040000000000003</v>
      </c>
      <c r="J59" s="14" t="str">
        <f t="shared" si="1"/>
        <v>Jul</v>
      </c>
      <c r="K59" s="14">
        <f t="shared" si="3"/>
        <v>2024</v>
      </c>
      <c r="L59" s="14" t="str">
        <f t="shared" si="4"/>
        <v>Completed</v>
      </c>
      <c r="M59" s="18" t="str">
        <f t="shared" si="2"/>
        <v>New</v>
      </c>
    </row>
    <row r="60" spans="1:13" ht="15" thickBot="1" x14ac:dyDescent="0.35">
      <c r="A60" s="17">
        <v>50059</v>
      </c>
      <c r="B60" s="14" t="s">
        <v>15</v>
      </c>
      <c r="C60" s="14" t="s">
        <v>16</v>
      </c>
      <c r="D60" s="14">
        <v>12</v>
      </c>
      <c r="E60" s="15">
        <v>45643.472916666666</v>
      </c>
      <c r="F60" s="16">
        <v>3.49</v>
      </c>
      <c r="G60" s="14">
        <v>12942</v>
      </c>
      <c r="H60" s="14" t="s">
        <v>18</v>
      </c>
      <c r="I60" s="16">
        <f t="shared" si="0"/>
        <v>41.88</v>
      </c>
      <c r="J60" s="14" t="str">
        <f t="shared" si="1"/>
        <v>Dec</v>
      </c>
      <c r="K60" s="14">
        <f t="shared" si="3"/>
        <v>2024</v>
      </c>
      <c r="L60" s="14" t="str">
        <f t="shared" si="4"/>
        <v>Completed</v>
      </c>
      <c r="M60" s="18" t="str">
        <f t="shared" si="2"/>
        <v>Wholesale</v>
      </c>
    </row>
    <row r="61" spans="1:13" ht="15" thickBot="1" x14ac:dyDescent="0.35">
      <c r="A61" s="17">
        <v>50060</v>
      </c>
      <c r="B61" s="14">
        <v>84991</v>
      </c>
      <c r="C61" s="14" t="s">
        <v>25</v>
      </c>
      <c r="D61" s="14">
        <v>24</v>
      </c>
      <c r="E61" s="15">
        <v>45452.421527777777</v>
      </c>
      <c r="F61" s="16">
        <v>0.56999999999999995</v>
      </c>
      <c r="G61" s="14">
        <v>12682</v>
      </c>
      <c r="H61" s="14" t="s">
        <v>26</v>
      </c>
      <c r="I61" s="16">
        <f t="shared" si="0"/>
        <v>13.68</v>
      </c>
      <c r="J61" s="14" t="str">
        <f t="shared" si="1"/>
        <v>Jun</v>
      </c>
      <c r="K61" s="14">
        <f t="shared" si="3"/>
        <v>2024</v>
      </c>
      <c r="L61" s="14" t="str">
        <f t="shared" si="4"/>
        <v>Completed</v>
      </c>
      <c r="M61" s="18" t="str">
        <f t="shared" si="2"/>
        <v>Returning</v>
      </c>
    </row>
    <row r="62" spans="1:13" ht="15" thickBot="1" x14ac:dyDescent="0.35">
      <c r="A62" s="17">
        <v>50061</v>
      </c>
      <c r="B62" s="14">
        <v>22086</v>
      </c>
      <c r="C62" s="14" t="s">
        <v>41</v>
      </c>
      <c r="D62" s="14">
        <v>18</v>
      </c>
      <c r="E62" s="15">
        <v>45498.543055555558</v>
      </c>
      <c r="F62" s="16">
        <v>2.94</v>
      </c>
      <c r="G62" s="14">
        <v>12962</v>
      </c>
      <c r="H62" s="14" t="s">
        <v>26</v>
      </c>
      <c r="I62" s="16">
        <f t="shared" si="0"/>
        <v>52.92</v>
      </c>
      <c r="J62" s="14" t="str">
        <f t="shared" si="1"/>
        <v>Jul</v>
      </c>
      <c r="K62" s="14">
        <f t="shared" si="3"/>
        <v>2024</v>
      </c>
      <c r="L62" s="14" t="str">
        <f t="shared" si="4"/>
        <v>Completed</v>
      </c>
      <c r="M62" s="18" t="str">
        <f t="shared" si="2"/>
        <v>Returning</v>
      </c>
    </row>
    <row r="63" spans="1:13" ht="15" thickBot="1" x14ac:dyDescent="0.35">
      <c r="A63" s="17">
        <v>50062</v>
      </c>
      <c r="B63" s="14">
        <v>22720</v>
      </c>
      <c r="C63" s="14" t="s">
        <v>17</v>
      </c>
      <c r="D63" s="14">
        <v>10</v>
      </c>
      <c r="E63" s="15">
        <v>45607.737500000003</v>
      </c>
      <c r="F63" s="16">
        <v>5.65</v>
      </c>
      <c r="G63" s="14">
        <v>12311</v>
      </c>
      <c r="H63" s="14" t="s">
        <v>22</v>
      </c>
      <c r="I63" s="16">
        <f t="shared" si="0"/>
        <v>56.5</v>
      </c>
      <c r="J63" s="14" t="str">
        <f t="shared" si="1"/>
        <v>Nov</v>
      </c>
      <c r="K63" s="14">
        <f t="shared" si="3"/>
        <v>2024</v>
      </c>
      <c r="L63" s="14" t="str">
        <f t="shared" si="4"/>
        <v>Completed</v>
      </c>
      <c r="M63" s="18" t="str">
        <f t="shared" si="2"/>
        <v>New</v>
      </c>
    </row>
    <row r="64" spans="1:13" ht="15" thickBot="1" x14ac:dyDescent="0.35">
      <c r="A64" s="17">
        <v>50063</v>
      </c>
      <c r="B64" s="14">
        <v>22727</v>
      </c>
      <c r="C64" s="14" t="s">
        <v>46</v>
      </c>
      <c r="D64" s="14">
        <v>20</v>
      </c>
      <c r="E64" s="15">
        <v>45512.745138888888</v>
      </c>
      <c r="F64" s="16">
        <v>3.8</v>
      </c>
      <c r="G64" s="14">
        <v>12452</v>
      </c>
      <c r="H64" s="14" t="s">
        <v>37</v>
      </c>
      <c r="I64" s="16">
        <f t="shared" si="0"/>
        <v>76</v>
      </c>
      <c r="J64" s="14" t="str">
        <f t="shared" si="1"/>
        <v>Aug</v>
      </c>
      <c r="K64" s="14">
        <f t="shared" si="3"/>
        <v>2024</v>
      </c>
      <c r="L64" s="14" t="str">
        <f t="shared" si="4"/>
        <v>Completed</v>
      </c>
      <c r="M64" s="18" t="str">
        <f t="shared" si="2"/>
        <v>Returning</v>
      </c>
    </row>
    <row r="65" spans="1:13" ht="15" thickBot="1" x14ac:dyDescent="0.35">
      <c r="A65" s="17">
        <v>50064</v>
      </c>
      <c r="B65" s="14" t="s">
        <v>33</v>
      </c>
      <c r="C65" s="14" t="s">
        <v>34</v>
      </c>
      <c r="D65" s="14">
        <v>22</v>
      </c>
      <c r="E65" s="15">
        <v>45534.453472222223</v>
      </c>
      <c r="F65" s="16">
        <v>18.55</v>
      </c>
      <c r="G65" s="14">
        <v>12648</v>
      </c>
      <c r="H65" s="14" t="s">
        <v>20</v>
      </c>
      <c r="I65" s="16">
        <f t="shared" si="0"/>
        <v>408.1</v>
      </c>
      <c r="J65" s="14" t="str">
        <f t="shared" si="1"/>
        <v>Aug</v>
      </c>
      <c r="K65" s="14">
        <f t="shared" si="3"/>
        <v>2024</v>
      </c>
      <c r="L65" s="14" t="str">
        <f t="shared" si="4"/>
        <v>Completed</v>
      </c>
      <c r="M65" s="18" t="str">
        <f t="shared" si="2"/>
        <v>Wholesale</v>
      </c>
    </row>
    <row r="66" spans="1:13" ht="15" thickBot="1" x14ac:dyDescent="0.35">
      <c r="A66" s="17">
        <v>50065</v>
      </c>
      <c r="B66" s="14">
        <v>22086</v>
      </c>
      <c r="C66" s="14" t="s">
        <v>41</v>
      </c>
      <c r="D66" s="14">
        <v>22</v>
      </c>
      <c r="E66" s="15">
        <v>45339.5</v>
      </c>
      <c r="F66" s="16">
        <v>3.34</v>
      </c>
      <c r="G66" s="14">
        <v>12150</v>
      </c>
      <c r="H66" s="14" t="s">
        <v>14</v>
      </c>
      <c r="I66" s="16">
        <f t="shared" ref="I66:I129" si="5">D66*F66</f>
        <v>73.47999999999999</v>
      </c>
      <c r="J66" s="14" t="str">
        <f t="shared" ref="J66:J129" si="6">TEXT(E66,"mmm")</f>
        <v>Feb</v>
      </c>
      <c r="K66" s="14">
        <f t="shared" si="3"/>
        <v>2024</v>
      </c>
      <c r="L66" s="14" t="str">
        <f t="shared" si="4"/>
        <v>Completed</v>
      </c>
      <c r="M66" s="18" t="str">
        <f t="shared" ref="M66:M129" si="7">IF(G66=0,"Unknown",IF(MOD(G66,3)=0,"Wholesale",IF(MOD(G66,2)=0,"Returning","New")))</f>
        <v>Wholesale</v>
      </c>
    </row>
    <row r="67" spans="1:13" ht="15" thickBot="1" x14ac:dyDescent="0.35">
      <c r="A67" s="17">
        <v>50066</v>
      </c>
      <c r="B67" s="14">
        <v>71053</v>
      </c>
      <c r="C67" s="14" t="s">
        <v>38</v>
      </c>
      <c r="D67" s="14">
        <v>20</v>
      </c>
      <c r="E67" s="15">
        <v>45417.67083333333</v>
      </c>
      <c r="F67" s="16">
        <v>2.97</v>
      </c>
      <c r="G67" s="14">
        <v>12424</v>
      </c>
      <c r="H67" s="14" t="s">
        <v>20</v>
      </c>
      <c r="I67" s="16">
        <f t="shared" si="5"/>
        <v>59.400000000000006</v>
      </c>
      <c r="J67" s="14" t="str">
        <f t="shared" si="6"/>
        <v>May</v>
      </c>
      <c r="K67" s="14">
        <f t="shared" ref="K67:K130" si="8">YEAR(E67)</f>
        <v>2024</v>
      </c>
      <c r="L67" s="14" t="str">
        <f t="shared" ref="L67:L130" si="9">IF(OR(LEFT(A67,1)="C",D67&lt;0),"Cancelled","Completed")</f>
        <v>Completed</v>
      </c>
      <c r="M67" s="18" t="str">
        <f t="shared" si="7"/>
        <v>Returning</v>
      </c>
    </row>
    <row r="68" spans="1:13" ht="15" thickBot="1" x14ac:dyDescent="0.35">
      <c r="A68" s="17">
        <v>50067</v>
      </c>
      <c r="B68" s="14">
        <v>22727</v>
      </c>
      <c r="C68" s="14" t="s">
        <v>46</v>
      </c>
      <c r="D68" s="14">
        <v>16</v>
      </c>
      <c r="E68" s="15">
        <v>45648.606249999997</v>
      </c>
      <c r="F68" s="16">
        <v>3.38</v>
      </c>
      <c r="G68" s="14">
        <v>12704</v>
      </c>
      <c r="H68" s="14" t="s">
        <v>14</v>
      </c>
      <c r="I68" s="16">
        <f t="shared" si="5"/>
        <v>54.08</v>
      </c>
      <c r="J68" s="14" t="str">
        <f t="shared" si="6"/>
        <v>Dec</v>
      </c>
      <c r="K68" s="14">
        <f t="shared" si="8"/>
        <v>2024</v>
      </c>
      <c r="L68" s="14" t="str">
        <f t="shared" si="9"/>
        <v>Completed</v>
      </c>
      <c r="M68" s="18" t="str">
        <f t="shared" si="7"/>
        <v>Returning</v>
      </c>
    </row>
    <row r="69" spans="1:13" ht="15" thickBot="1" x14ac:dyDescent="0.35">
      <c r="A69" s="17">
        <v>50068</v>
      </c>
      <c r="B69" s="14" t="s">
        <v>8</v>
      </c>
      <c r="C69" s="14" t="s">
        <v>9</v>
      </c>
      <c r="D69" s="14">
        <v>6</v>
      </c>
      <c r="E69" s="15">
        <v>45509.488888888889</v>
      </c>
      <c r="F69" s="16">
        <v>3.71</v>
      </c>
      <c r="G69" s="14">
        <v>12475</v>
      </c>
      <c r="H69" s="14" t="s">
        <v>14</v>
      </c>
      <c r="I69" s="16">
        <f t="shared" si="5"/>
        <v>22.259999999999998</v>
      </c>
      <c r="J69" s="14" t="str">
        <f t="shared" si="6"/>
        <v>Aug</v>
      </c>
      <c r="K69" s="14">
        <f t="shared" si="8"/>
        <v>2024</v>
      </c>
      <c r="L69" s="14" t="str">
        <f t="shared" si="9"/>
        <v>Completed</v>
      </c>
      <c r="M69" s="18" t="str">
        <f t="shared" si="7"/>
        <v>New</v>
      </c>
    </row>
    <row r="70" spans="1:13" ht="15" thickBot="1" x14ac:dyDescent="0.35">
      <c r="A70" s="17">
        <v>50069</v>
      </c>
      <c r="B70" s="14" t="s">
        <v>15</v>
      </c>
      <c r="C70" s="14" t="s">
        <v>16</v>
      </c>
      <c r="D70" s="14">
        <v>15</v>
      </c>
      <c r="E70" s="15">
        <v>45419.419444444444</v>
      </c>
      <c r="F70" s="16">
        <v>2.99</v>
      </c>
      <c r="G70" s="14">
        <v>12543</v>
      </c>
      <c r="H70" s="14" t="s">
        <v>10</v>
      </c>
      <c r="I70" s="16">
        <f t="shared" si="5"/>
        <v>44.85</v>
      </c>
      <c r="J70" s="14" t="str">
        <f t="shared" si="6"/>
        <v>May</v>
      </c>
      <c r="K70" s="14">
        <f t="shared" si="8"/>
        <v>2024</v>
      </c>
      <c r="L70" s="14" t="str">
        <f t="shared" si="9"/>
        <v>Completed</v>
      </c>
      <c r="M70" s="18" t="str">
        <f t="shared" si="7"/>
        <v>Wholesale</v>
      </c>
    </row>
    <row r="71" spans="1:13" ht="15" thickBot="1" x14ac:dyDescent="0.35">
      <c r="A71" s="17">
        <v>50070</v>
      </c>
      <c r="B71" s="14">
        <v>84991</v>
      </c>
      <c r="C71" s="14" t="s">
        <v>25</v>
      </c>
      <c r="D71" s="14">
        <v>20</v>
      </c>
      <c r="E71" s="15">
        <v>45454.647916666669</v>
      </c>
      <c r="F71" s="16">
        <v>0.64</v>
      </c>
      <c r="G71" s="14">
        <v>12436</v>
      </c>
      <c r="H71" s="14" t="s">
        <v>10</v>
      </c>
      <c r="I71" s="16">
        <f t="shared" si="5"/>
        <v>12.8</v>
      </c>
      <c r="J71" s="14" t="str">
        <f t="shared" si="6"/>
        <v>Jun</v>
      </c>
      <c r="K71" s="14">
        <f t="shared" si="8"/>
        <v>2024</v>
      </c>
      <c r="L71" s="14" t="str">
        <f t="shared" si="9"/>
        <v>Completed</v>
      </c>
      <c r="M71" s="18" t="str">
        <f t="shared" si="7"/>
        <v>Returning</v>
      </c>
    </row>
    <row r="72" spans="1:13" ht="15" thickBot="1" x14ac:dyDescent="0.35">
      <c r="A72" s="17">
        <v>50071</v>
      </c>
      <c r="B72" s="14">
        <v>20725</v>
      </c>
      <c r="C72" s="14" t="s">
        <v>19</v>
      </c>
      <c r="D72" s="14">
        <v>15</v>
      </c>
      <c r="E72" s="15">
        <v>45373.67083333333</v>
      </c>
      <c r="F72" s="16">
        <v>1.55</v>
      </c>
      <c r="G72" s="14">
        <v>12652</v>
      </c>
      <c r="H72" s="14" t="s">
        <v>22</v>
      </c>
      <c r="I72" s="16">
        <f t="shared" si="5"/>
        <v>23.25</v>
      </c>
      <c r="J72" s="14" t="str">
        <f t="shared" si="6"/>
        <v>Mar</v>
      </c>
      <c r="K72" s="14">
        <f t="shared" si="8"/>
        <v>2024</v>
      </c>
      <c r="L72" s="14" t="str">
        <f t="shared" si="9"/>
        <v>Completed</v>
      </c>
      <c r="M72" s="18" t="str">
        <f t="shared" si="7"/>
        <v>Returning</v>
      </c>
    </row>
    <row r="73" spans="1:13" ht="15" thickBot="1" x14ac:dyDescent="0.35">
      <c r="A73" s="17">
        <v>50072</v>
      </c>
      <c r="B73" s="14" t="s">
        <v>33</v>
      </c>
      <c r="C73" s="14" t="s">
        <v>34</v>
      </c>
      <c r="D73" s="14">
        <v>1</v>
      </c>
      <c r="E73" s="15">
        <v>45540.50277777778</v>
      </c>
      <c r="F73" s="16">
        <v>19.8</v>
      </c>
      <c r="G73" s="14">
        <v>12240</v>
      </c>
      <c r="H73" s="14" t="s">
        <v>22</v>
      </c>
      <c r="I73" s="16">
        <f t="shared" si="5"/>
        <v>19.8</v>
      </c>
      <c r="J73" s="14" t="str">
        <f t="shared" si="6"/>
        <v>Sep</v>
      </c>
      <c r="K73" s="14">
        <f t="shared" si="8"/>
        <v>2024</v>
      </c>
      <c r="L73" s="14" t="str">
        <f t="shared" si="9"/>
        <v>Completed</v>
      </c>
      <c r="M73" s="18" t="str">
        <f t="shared" si="7"/>
        <v>Wholesale</v>
      </c>
    </row>
    <row r="74" spans="1:13" ht="15" thickBot="1" x14ac:dyDescent="0.35">
      <c r="A74" s="17">
        <v>50073</v>
      </c>
      <c r="B74" s="14">
        <v>22086</v>
      </c>
      <c r="C74" s="14" t="s">
        <v>41</v>
      </c>
      <c r="D74" s="14">
        <v>3</v>
      </c>
      <c r="E74" s="15">
        <v>45455.717361111114</v>
      </c>
      <c r="F74" s="16">
        <v>2.75</v>
      </c>
      <c r="G74" s="14">
        <v>12710</v>
      </c>
      <c r="H74" s="14" t="s">
        <v>23</v>
      </c>
      <c r="I74" s="16">
        <f t="shared" si="5"/>
        <v>8.25</v>
      </c>
      <c r="J74" s="14" t="str">
        <f t="shared" si="6"/>
        <v>Jun</v>
      </c>
      <c r="K74" s="14">
        <f t="shared" si="8"/>
        <v>2024</v>
      </c>
      <c r="L74" s="14" t="str">
        <f t="shared" si="9"/>
        <v>Completed</v>
      </c>
      <c r="M74" s="18" t="str">
        <f t="shared" si="7"/>
        <v>Returning</v>
      </c>
    </row>
    <row r="75" spans="1:13" ht="15" thickBot="1" x14ac:dyDescent="0.35">
      <c r="A75" s="17">
        <v>50074</v>
      </c>
      <c r="B75" s="14">
        <v>22727</v>
      </c>
      <c r="C75" s="14" t="s">
        <v>46</v>
      </c>
      <c r="D75" s="14">
        <v>14</v>
      </c>
      <c r="E75" s="15">
        <v>45324.62777777778</v>
      </c>
      <c r="F75" s="16">
        <v>3.8</v>
      </c>
      <c r="G75" s="14">
        <v>12063</v>
      </c>
      <c r="H75" s="14" t="s">
        <v>37</v>
      </c>
      <c r="I75" s="16">
        <f t="shared" si="5"/>
        <v>53.199999999999996</v>
      </c>
      <c r="J75" s="14" t="str">
        <f t="shared" si="6"/>
        <v>Feb</v>
      </c>
      <c r="K75" s="14">
        <f t="shared" si="8"/>
        <v>2024</v>
      </c>
      <c r="L75" s="14" t="str">
        <f t="shared" si="9"/>
        <v>Completed</v>
      </c>
      <c r="M75" s="18" t="str">
        <f t="shared" si="7"/>
        <v>Wholesale</v>
      </c>
    </row>
    <row r="76" spans="1:13" ht="15" thickBot="1" x14ac:dyDescent="0.35">
      <c r="A76" s="17" t="s">
        <v>48</v>
      </c>
      <c r="B76" s="14" t="s">
        <v>39</v>
      </c>
      <c r="C76" s="14" t="s">
        <v>40</v>
      </c>
      <c r="D76" s="14">
        <v>-7</v>
      </c>
      <c r="E76" s="15">
        <v>45491.748611111114</v>
      </c>
      <c r="F76" s="16">
        <v>2.12</v>
      </c>
      <c r="G76" s="14">
        <v>12965</v>
      </c>
      <c r="H76" s="14" t="s">
        <v>18</v>
      </c>
      <c r="I76" s="16">
        <f t="shared" si="5"/>
        <v>-14.84</v>
      </c>
      <c r="J76" s="14" t="str">
        <f t="shared" si="6"/>
        <v>Jul</v>
      </c>
      <c r="K76" s="14">
        <f t="shared" si="8"/>
        <v>2024</v>
      </c>
      <c r="L76" s="14" t="str">
        <f t="shared" si="9"/>
        <v>Cancelled</v>
      </c>
      <c r="M76" s="18" t="str">
        <f t="shared" si="7"/>
        <v>New</v>
      </c>
    </row>
    <row r="77" spans="1:13" ht="15" thickBot="1" x14ac:dyDescent="0.35">
      <c r="A77" s="17">
        <v>50076</v>
      </c>
      <c r="B77" s="14">
        <v>22960</v>
      </c>
      <c r="C77" s="14" t="s">
        <v>49</v>
      </c>
      <c r="D77" s="14">
        <v>18</v>
      </c>
      <c r="E77" s="15">
        <v>45491.631249999999</v>
      </c>
      <c r="F77" s="16">
        <v>4.42</v>
      </c>
      <c r="G77" s="14">
        <v>12617</v>
      </c>
      <c r="H77" s="14" t="s">
        <v>37</v>
      </c>
      <c r="I77" s="16">
        <f t="shared" si="5"/>
        <v>79.56</v>
      </c>
      <c r="J77" s="14" t="str">
        <f t="shared" si="6"/>
        <v>Jul</v>
      </c>
      <c r="K77" s="14">
        <f t="shared" si="8"/>
        <v>2024</v>
      </c>
      <c r="L77" s="14" t="str">
        <f t="shared" si="9"/>
        <v>Completed</v>
      </c>
      <c r="M77" s="18" t="str">
        <f t="shared" si="7"/>
        <v>New</v>
      </c>
    </row>
    <row r="78" spans="1:13" ht="15" thickBot="1" x14ac:dyDescent="0.35">
      <c r="A78" s="17">
        <v>50077</v>
      </c>
      <c r="B78" s="14">
        <v>23203</v>
      </c>
      <c r="C78" s="14" t="s">
        <v>30</v>
      </c>
      <c r="D78" s="14">
        <v>14</v>
      </c>
      <c r="E78" s="15">
        <v>45404.527083333334</v>
      </c>
      <c r="F78" s="16">
        <v>2.0499999999999998</v>
      </c>
      <c r="G78" s="14">
        <v>12684</v>
      </c>
      <c r="H78" s="14" t="s">
        <v>26</v>
      </c>
      <c r="I78" s="16">
        <f t="shared" si="5"/>
        <v>28.699999999999996</v>
      </c>
      <c r="J78" s="14" t="str">
        <f t="shared" si="6"/>
        <v>Apr</v>
      </c>
      <c r="K78" s="14">
        <f t="shared" si="8"/>
        <v>2024</v>
      </c>
      <c r="L78" s="14" t="str">
        <f t="shared" si="9"/>
        <v>Completed</v>
      </c>
      <c r="M78" s="18" t="str">
        <f t="shared" si="7"/>
        <v>Wholesale</v>
      </c>
    </row>
    <row r="79" spans="1:13" ht="15" thickBot="1" x14ac:dyDescent="0.35">
      <c r="A79" s="17">
        <v>50078</v>
      </c>
      <c r="B79" s="14">
        <v>22720</v>
      </c>
      <c r="C79" s="14" t="s">
        <v>17</v>
      </c>
      <c r="D79" s="14">
        <v>20</v>
      </c>
      <c r="E79" s="15">
        <v>45531.423611111109</v>
      </c>
      <c r="F79" s="16">
        <v>5.78</v>
      </c>
      <c r="G79" s="14">
        <v>12606</v>
      </c>
      <c r="H79" s="14" t="s">
        <v>20</v>
      </c>
      <c r="I79" s="16">
        <f t="shared" si="5"/>
        <v>115.60000000000001</v>
      </c>
      <c r="J79" s="14" t="str">
        <f t="shared" si="6"/>
        <v>Aug</v>
      </c>
      <c r="K79" s="14">
        <f t="shared" si="8"/>
        <v>2024</v>
      </c>
      <c r="L79" s="14" t="str">
        <f t="shared" si="9"/>
        <v>Completed</v>
      </c>
      <c r="M79" s="18" t="str">
        <f t="shared" si="7"/>
        <v>Wholesale</v>
      </c>
    </row>
    <row r="80" spans="1:13" ht="15" thickBot="1" x14ac:dyDescent="0.35">
      <c r="A80" s="17">
        <v>50079</v>
      </c>
      <c r="B80" s="14" t="s">
        <v>31</v>
      </c>
      <c r="C80" s="14" t="s">
        <v>32</v>
      </c>
      <c r="D80" s="14">
        <v>5</v>
      </c>
      <c r="E80" s="15">
        <v>45334.637499999997</v>
      </c>
      <c r="F80" s="16">
        <v>2.33</v>
      </c>
      <c r="G80" s="14">
        <v>12266</v>
      </c>
      <c r="H80" s="14" t="s">
        <v>26</v>
      </c>
      <c r="I80" s="16">
        <f t="shared" si="5"/>
        <v>11.65</v>
      </c>
      <c r="J80" s="14" t="str">
        <f t="shared" si="6"/>
        <v>Feb</v>
      </c>
      <c r="K80" s="14">
        <f t="shared" si="8"/>
        <v>2024</v>
      </c>
      <c r="L80" s="14" t="str">
        <f t="shared" si="9"/>
        <v>Completed</v>
      </c>
      <c r="M80" s="18" t="str">
        <f t="shared" si="7"/>
        <v>Returning</v>
      </c>
    </row>
    <row r="81" spans="1:13" ht="15" thickBot="1" x14ac:dyDescent="0.35">
      <c r="A81" s="17">
        <v>50080</v>
      </c>
      <c r="B81" s="14">
        <v>22086</v>
      </c>
      <c r="C81" s="14" t="s">
        <v>41</v>
      </c>
      <c r="D81" s="14">
        <v>11</v>
      </c>
      <c r="E81" s="15">
        <v>45400.65625</v>
      </c>
      <c r="F81" s="16">
        <v>3.42</v>
      </c>
      <c r="G81" s="14">
        <v>12284</v>
      </c>
      <c r="H81" s="14" t="s">
        <v>26</v>
      </c>
      <c r="I81" s="16">
        <f t="shared" si="5"/>
        <v>37.619999999999997</v>
      </c>
      <c r="J81" s="14" t="str">
        <f t="shared" si="6"/>
        <v>Apr</v>
      </c>
      <c r="K81" s="14">
        <f t="shared" si="8"/>
        <v>2024</v>
      </c>
      <c r="L81" s="14" t="str">
        <f t="shared" si="9"/>
        <v>Completed</v>
      </c>
      <c r="M81" s="18" t="str">
        <f t="shared" si="7"/>
        <v>Returning</v>
      </c>
    </row>
    <row r="82" spans="1:13" ht="15" thickBot="1" x14ac:dyDescent="0.35">
      <c r="A82" s="17">
        <v>50081</v>
      </c>
      <c r="B82" s="14">
        <v>47566</v>
      </c>
      <c r="C82" s="14" t="s">
        <v>27</v>
      </c>
      <c r="D82" s="14">
        <v>1</v>
      </c>
      <c r="E82" s="15">
        <v>45333.667361111111</v>
      </c>
      <c r="F82" s="16">
        <v>4.3</v>
      </c>
      <c r="G82" s="14">
        <v>12974</v>
      </c>
      <c r="H82" s="14" t="s">
        <v>18</v>
      </c>
      <c r="I82" s="16">
        <f t="shared" si="5"/>
        <v>4.3</v>
      </c>
      <c r="J82" s="14" t="str">
        <f t="shared" si="6"/>
        <v>Feb</v>
      </c>
      <c r="K82" s="14">
        <f t="shared" si="8"/>
        <v>2024</v>
      </c>
      <c r="L82" s="14" t="str">
        <f t="shared" si="9"/>
        <v>Completed</v>
      </c>
      <c r="M82" s="18" t="str">
        <f t="shared" si="7"/>
        <v>Returning</v>
      </c>
    </row>
    <row r="83" spans="1:13" ht="15" thickBot="1" x14ac:dyDescent="0.35">
      <c r="A83" s="17" t="s">
        <v>50</v>
      </c>
      <c r="B83" s="14">
        <v>22423</v>
      </c>
      <c r="C83" s="14" t="s">
        <v>36</v>
      </c>
      <c r="D83" s="14">
        <v>-1</v>
      </c>
      <c r="E83" s="15">
        <v>45624.381944444445</v>
      </c>
      <c r="F83" s="16">
        <v>15.08</v>
      </c>
      <c r="G83" s="14">
        <v>12204</v>
      </c>
      <c r="H83" s="14" t="s">
        <v>14</v>
      </c>
      <c r="I83" s="16">
        <f t="shared" si="5"/>
        <v>-15.08</v>
      </c>
      <c r="J83" s="14" t="str">
        <f t="shared" si="6"/>
        <v>Nov</v>
      </c>
      <c r="K83" s="14">
        <f t="shared" si="8"/>
        <v>2024</v>
      </c>
      <c r="L83" s="14" t="str">
        <f t="shared" si="9"/>
        <v>Cancelled</v>
      </c>
      <c r="M83" s="18" t="str">
        <f t="shared" si="7"/>
        <v>Wholesale</v>
      </c>
    </row>
    <row r="84" spans="1:13" ht="15" thickBot="1" x14ac:dyDescent="0.35">
      <c r="A84" s="17">
        <v>50083</v>
      </c>
      <c r="B84" s="14">
        <v>84991</v>
      </c>
      <c r="C84" s="14" t="s">
        <v>25</v>
      </c>
      <c r="D84" s="14">
        <v>5</v>
      </c>
      <c r="E84" s="15">
        <v>45370.50277777778</v>
      </c>
      <c r="F84" s="16">
        <v>0.49</v>
      </c>
      <c r="G84" s="14">
        <v>12970</v>
      </c>
      <c r="H84" s="14" t="s">
        <v>37</v>
      </c>
      <c r="I84" s="16">
        <f t="shared" si="5"/>
        <v>2.4500000000000002</v>
      </c>
      <c r="J84" s="14" t="str">
        <f t="shared" si="6"/>
        <v>Mar</v>
      </c>
      <c r="K84" s="14">
        <f t="shared" si="8"/>
        <v>2024</v>
      </c>
      <c r="L84" s="14" t="str">
        <f t="shared" si="9"/>
        <v>Completed</v>
      </c>
      <c r="M84" s="18" t="str">
        <f t="shared" si="7"/>
        <v>Returning</v>
      </c>
    </row>
    <row r="85" spans="1:13" ht="15" thickBot="1" x14ac:dyDescent="0.35">
      <c r="A85" s="17">
        <v>50084</v>
      </c>
      <c r="B85" s="14">
        <v>20725</v>
      </c>
      <c r="C85" s="14" t="s">
        <v>19</v>
      </c>
      <c r="D85" s="14">
        <v>12</v>
      </c>
      <c r="E85" s="15">
        <v>45650.515277777777</v>
      </c>
      <c r="F85" s="16">
        <v>1.75</v>
      </c>
      <c r="G85" s="14">
        <v>12765</v>
      </c>
      <c r="H85" s="14" t="s">
        <v>24</v>
      </c>
      <c r="I85" s="16">
        <f t="shared" si="5"/>
        <v>21</v>
      </c>
      <c r="J85" s="14" t="str">
        <f t="shared" si="6"/>
        <v>Dec</v>
      </c>
      <c r="K85" s="14">
        <f t="shared" si="8"/>
        <v>2024</v>
      </c>
      <c r="L85" s="14" t="str">
        <f t="shared" si="9"/>
        <v>Completed</v>
      </c>
      <c r="M85" s="18" t="str">
        <f t="shared" si="7"/>
        <v>Wholesale</v>
      </c>
    </row>
    <row r="86" spans="1:13" ht="15" thickBot="1" x14ac:dyDescent="0.35">
      <c r="A86" s="17" t="s">
        <v>51</v>
      </c>
      <c r="B86" s="14">
        <v>22720</v>
      </c>
      <c r="C86" s="14" t="s">
        <v>17</v>
      </c>
      <c r="D86" s="14">
        <v>-5</v>
      </c>
      <c r="E86" s="15">
        <v>45451.409722222219</v>
      </c>
      <c r="F86" s="16">
        <v>5.21</v>
      </c>
      <c r="G86" s="14">
        <v>12929</v>
      </c>
      <c r="H86" s="14" t="s">
        <v>26</v>
      </c>
      <c r="I86" s="16">
        <f t="shared" si="5"/>
        <v>-26.05</v>
      </c>
      <c r="J86" s="14" t="str">
        <f t="shared" si="6"/>
        <v>Jun</v>
      </c>
      <c r="K86" s="14">
        <f t="shared" si="8"/>
        <v>2024</v>
      </c>
      <c r="L86" s="14" t="str">
        <f t="shared" si="9"/>
        <v>Cancelled</v>
      </c>
      <c r="M86" s="18" t="str">
        <f t="shared" si="7"/>
        <v>New</v>
      </c>
    </row>
    <row r="87" spans="1:13" ht="15" thickBot="1" x14ac:dyDescent="0.35">
      <c r="A87" s="17">
        <v>50086</v>
      </c>
      <c r="B87" s="14">
        <v>22386</v>
      </c>
      <c r="C87" s="14" t="s">
        <v>29</v>
      </c>
      <c r="D87" s="14">
        <v>19</v>
      </c>
      <c r="E87" s="15">
        <v>45393.386805555558</v>
      </c>
      <c r="F87" s="16">
        <v>2.09</v>
      </c>
      <c r="G87" s="14">
        <v>12104</v>
      </c>
      <c r="H87" s="14" t="s">
        <v>22</v>
      </c>
      <c r="I87" s="16">
        <f t="shared" si="5"/>
        <v>39.709999999999994</v>
      </c>
      <c r="J87" s="14" t="str">
        <f t="shared" si="6"/>
        <v>Apr</v>
      </c>
      <c r="K87" s="14">
        <f t="shared" si="8"/>
        <v>2024</v>
      </c>
      <c r="L87" s="14" t="str">
        <f t="shared" si="9"/>
        <v>Completed</v>
      </c>
      <c r="M87" s="18" t="str">
        <f t="shared" si="7"/>
        <v>Returning</v>
      </c>
    </row>
    <row r="88" spans="1:13" ht="15" thickBot="1" x14ac:dyDescent="0.35">
      <c r="A88" s="17">
        <v>50087</v>
      </c>
      <c r="B88" s="14">
        <v>84991</v>
      </c>
      <c r="C88" s="14" t="s">
        <v>25</v>
      </c>
      <c r="D88" s="14">
        <v>2</v>
      </c>
      <c r="E88" s="15">
        <v>45353.73541666667</v>
      </c>
      <c r="F88" s="16">
        <v>0.55000000000000004</v>
      </c>
      <c r="G88" s="14">
        <v>12379</v>
      </c>
      <c r="H88" s="14" t="s">
        <v>24</v>
      </c>
      <c r="I88" s="16">
        <f t="shared" si="5"/>
        <v>1.1000000000000001</v>
      </c>
      <c r="J88" s="14" t="str">
        <f t="shared" si="6"/>
        <v>Mar</v>
      </c>
      <c r="K88" s="14">
        <f t="shared" si="8"/>
        <v>2024</v>
      </c>
      <c r="L88" s="14" t="str">
        <f t="shared" si="9"/>
        <v>Completed</v>
      </c>
      <c r="M88" s="18" t="str">
        <f t="shared" si="7"/>
        <v>New</v>
      </c>
    </row>
    <row r="89" spans="1:13" ht="15" thickBot="1" x14ac:dyDescent="0.35">
      <c r="A89" s="17">
        <v>50088</v>
      </c>
      <c r="B89" s="14" t="s">
        <v>33</v>
      </c>
      <c r="C89" s="14" t="s">
        <v>34</v>
      </c>
      <c r="D89" s="14">
        <v>1</v>
      </c>
      <c r="E89" s="15">
        <v>45623.575694444444</v>
      </c>
      <c r="F89" s="16">
        <v>20.48</v>
      </c>
      <c r="G89" s="14">
        <v>12108</v>
      </c>
      <c r="H89" s="14" t="s">
        <v>26</v>
      </c>
      <c r="I89" s="16">
        <f t="shared" si="5"/>
        <v>20.48</v>
      </c>
      <c r="J89" s="14" t="str">
        <f t="shared" si="6"/>
        <v>Nov</v>
      </c>
      <c r="K89" s="14">
        <f t="shared" si="8"/>
        <v>2024</v>
      </c>
      <c r="L89" s="14" t="str">
        <f t="shared" si="9"/>
        <v>Completed</v>
      </c>
      <c r="M89" s="18" t="str">
        <f t="shared" si="7"/>
        <v>Wholesale</v>
      </c>
    </row>
    <row r="90" spans="1:13" ht="15" thickBot="1" x14ac:dyDescent="0.35">
      <c r="A90" s="17">
        <v>50089</v>
      </c>
      <c r="B90" s="14">
        <v>21212</v>
      </c>
      <c r="C90" s="14" t="s">
        <v>21</v>
      </c>
      <c r="D90" s="14">
        <v>23</v>
      </c>
      <c r="E90" s="15">
        <v>45617.659722222219</v>
      </c>
      <c r="F90" s="16">
        <v>0.5</v>
      </c>
      <c r="G90" s="14">
        <v>12534</v>
      </c>
      <c r="H90" s="14" t="s">
        <v>22</v>
      </c>
      <c r="I90" s="16">
        <f t="shared" si="5"/>
        <v>11.5</v>
      </c>
      <c r="J90" s="14" t="str">
        <f t="shared" si="6"/>
        <v>Nov</v>
      </c>
      <c r="K90" s="14">
        <f t="shared" si="8"/>
        <v>2024</v>
      </c>
      <c r="L90" s="14" t="str">
        <f t="shared" si="9"/>
        <v>Completed</v>
      </c>
      <c r="M90" s="18" t="str">
        <f t="shared" si="7"/>
        <v>Wholesale</v>
      </c>
    </row>
    <row r="91" spans="1:13" ht="15" thickBot="1" x14ac:dyDescent="0.35">
      <c r="A91" s="17">
        <v>50090</v>
      </c>
      <c r="B91" s="14">
        <v>84991</v>
      </c>
      <c r="C91" s="14" t="s">
        <v>25</v>
      </c>
      <c r="D91" s="14">
        <v>15</v>
      </c>
      <c r="E91" s="15">
        <v>45567.677083333336</v>
      </c>
      <c r="F91" s="16">
        <v>0.61</v>
      </c>
      <c r="G91" s="14">
        <v>12274</v>
      </c>
      <c r="H91" s="14" t="s">
        <v>18</v>
      </c>
      <c r="I91" s="16">
        <f t="shared" si="5"/>
        <v>9.15</v>
      </c>
      <c r="J91" s="14" t="str">
        <f t="shared" si="6"/>
        <v>Oct</v>
      </c>
      <c r="K91" s="14">
        <f t="shared" si="8"/>
        <v>2024</v>
      </c>
      <c r="L91" s="14" t="str">
        <f t="shared" si="9"/>
        <v>Completed</v>
      </c>
      <c r="M91" s="18" t="str">
        <f t="shared" si="7"/>
        <v>Returning</v>
      </c>
    </row>
    <row r="92" spans="1:13" ht="15" thickBot="1" x14ac:dyDescent="0.35">
      <c r="A92" s="17">
        <v>50091</v>
      </c>
      <c r="B92" s="14">
        <v>22423</v>
      </c>
      <c r="C92" s="14" t="s">
        <v>36</v>
      </c>
      <c r="D92" s="14">
        <v>15</v>
      </c>
      <c r="E92" s="15">
        <v>45336.53125</v>
      </c>
      <c r="F92" s="16">
        <v>12.91</v>
      </c>
      <c r="G92" s="14">
        <v>12624</v>
      </c>
      <c r="H92" s="14" t="s">
        <v>26</v>
      </c>
      <c r="I92" s="16">
        <f t="shared" si="5"/>
        <v>193.65</v>
      </c>
      <c r="J92" s="14" t="str">
        <f t="shared" si="6"/>
        <v>Feb</v>
      </c>
      <c r="K92" s="14">
        <f t="shared" si="8"/>
        <v>2024</v>
      </c>
      <c r="L92" s="14" t="str">
        <f t="shared" si="9"/>
        <v>Completed</v>
      </c>
      <c r="M92" s="18" t="str">
        <f t="shared" si="7"/>
        <v>Wholesale</v>
      </c>
    </row>
    <row r="93" spans="1:13" ht="15" thickBot="1" x14ac:dyDescent="0.35">
      <c r="A93" s="17">
        <v>50092</v>
      </c>
      <c r="B93" s="14">
        <v>22086</v>
      </c>
      <c r="C93" s="14" t="s">
        <v>41</v>
      </c>
      <c r="D93" s="14">
        <v>11</v>
      </c>
      <c r="E93" s="15">
        <v>45306.68472222222</v>
      </c>
      <c r="F93" s="16">
        <v>2.73</v>
      </c>
      <c r="G93" s="14">
        <v>12816</v>
      </c>
      <c r="H93" s="14" t="s">
        <v>22</v>
      </c>
      <c r="I93" s="16">
        <f t="shared" si="5"/>
        <v>30.03</v>
      </c>
      <c r="J93" s="14" t="str">
        <f t="shared" si="6"/>
        <v>Jan</v>
      </c>
      <c r="K93" s="14">
        <f t="shared" si="8"/>
        <v>2024</v>
      </c>
      <c r="L93" s="14" t="str">
        <f t="shared" si="9"/>
        <v>Completed</v>
      </c>
      <c r="M93" s="18" t="str">
        <f t="shared" si="7"/>
        <v>Wholesale</v>
      </c>
    </row>
    <row r="94" spans="1:13" ht="15" thickBot="1" x14ac:dyDescent="0.35">
      <c r="A94" s="17" t="s">
        <v>52</v>
      </c>
      <c r="B94" s="14">
        <v>22086</v>
      </c>
      <c r="C94" s="14" t="s">
        <v>41</v>
      </c>
      <c r="D94" s="14">
        <v>-4</v>
      </c>
      <c r="E94" s="15">
        <v>45435.529166666667</v>
      </c>
      <c r="F94" s="16">
        <v>2.6</v>
      </c>
      <c r="G94" s="14">
        <v>12737</v>
      </c>
      <c r="H94" s="14" t="s">
        <v>26</v>
      </c>
      <c r="I94" s="16">
        <f t="shared" si="5"/>
        <v>-10.4</v>
      </c>
      <c r="J94" s="14" t="str">
        <f t="shared" si="6"/>
        <v>May</v>
      </c>
      <c r="K94" s="14">
        <f t="shared" si="8"/>
        <v>2024</v>
      </c>
      <c r="L94" s="14" t="str">
        <f t="shared" si="9"/>
        <v>Cancelled</v>
      </c>
      <c r="M94" s="18" t="str">
        <f t="shared" si="7"/>
        <v>New</v>
      </c>
    </row>
    <row r="95" spans="1:13" ht="15" thickBot="1" x14ac:dyDescent="0.35">
      <c r="A95" s="17">
        <v>50094</v>
      </c>
      <c r="B95" s="14">
        <v>23203</v>
      </c>
      <c r="C95" s="14" t="s">
        <v>30</v>
      </c>
      <c r="D95" s="14">
        <v>23</v>
      </c>
      <c r="E95" s="15">
        <v>45576.504166666666</v>
      </c>
      <c r="F95" s="16">
        <v>2.29</v>
      </c>
      <c r="G95" s="14">
        <v>12458</v>
      </c>
      <c r="H95" s="14" t="s">
        <v>14</v>
      </c>
      <c r="I95" s="16">
        <f t="shared" si="5"/>
        <v>52.67</v>
      </c>
      <c r="J95" s="14" t="str">
        <f t="shared" si="6"/>
        <v>Oct</v>
      </c>
      <c r="K95" s="14">
        <f t="shared" si="8"/>
        <v>2024</v>
      </c>
      <c r="L95" s="14" t="str">
        <f t="shared" si="9"/>
        <v>Completed</v>
      </c>
      <c r="M95" s="18" t="str">
        <f t="shared" si="7"/>
        <v>Returning</v>
      </c>
    </row>
    <row r="96" spans="1:13" ht="15" thickBot="1" x14ac:dyDescent="0.35">
      <c r="A96" s="17">
        <v>50095</v>
      </c>
      <c r="B96" s="14" t="s">
        <v>12</v>
      </c>
      <c r="C96" s="14" t="s">
        <v>13</v>
      </c>
      <c r="D96" s="14">
        <v>13</v>
      </c>
      <c r="E96" s="15">
        <v>45442.490277777775</v>
      </c>
      <c r="F96" s="16">
        <v>2.63</v>
      </c>
      <c r="G96" s="14">
        <v>12595</v>
      </c>
      <c r="H96" s="14" t="s">
        <v>18</v>
      </c>
      <c r="I96" s="16">
        <f t="shared" si="5"/>
        <v>34.19</v>
      </c>
      <c r="J96" s="14" t="str">
        <f t="shared" si="6"/>
        <v>May</v>
      </c>
      <c r="K96" s="14">
        <f t="shared" si="8"/>
        <v>2024</v>
      </c>
      <c r="L96" s="14" t="str">
        <f t="shared" si="9"/>
        <v>Completed</v>
      </c>
      <c r="M96" s="18" t="str">
        <f t="shared" si="7"/>
        <v>New</v>
      </c>
    </row>
    <row r="97" spans="1:13" ht="15" thickBot="1" x14ac:dyDescent="0.35">
      <c r="A97" s="17">
        <v>50096</v>
      </c>
      <c r="B97" s="14">
        <v>23203</v>
      </c>
      <c r="C97" s="14" t="s">
        <v>30</v>
      </c>
      <c r="D97" s="14">
        <v>12</v>
      </c>
      <c r="E97" s="15">
        <v>45575.710416666669</v>
      </c>
      <c r="F97" s="16">
        <v>2.31</v>
      </c>
      <c r="G97" s="14">
        <v>12338</v>
      </c>
      <c r="H97" s="14" t="s">
        <v>18</v>
      </c>
      <c r="I97" s="16">
        <f t="shared" si="5"/>
        <v>27.72</v>
      </c>
      <c r="J97" s="14" t="str">
        <f t="shared" si="6"/>
        <v>Oct</v>
      </c>
      <c r="K97" s="14">
        <f t="shared" si="8"/>
        <v>2024</v>
      </c>
      <c r="L97" s="14" t="str">
        <f t="shared" si="9"/>
        <v>Completed</v>
      </c>
      <c r="M97" s="18" t="str">
        <f t="shared" si="7"/>
        <v>Returning</v>
      </c>
    </row>
    <row r="98" spans="1:13" ht="15" thickBot="1" x14ac:dyDescent="0.35">
      <c r="A98" s="17">
        <v>50097</v>
      </c>
      <c r="B98" s="14">
        <v>20725</v>
      </c>
      <c r="C98" s="14" t="s">
        <v>19</v>
      </c>
      <c r="D98" s="14">
        <v>9</v>
      </c>
      <c r="E98" s="15">
        <v>45430.550694444442</v>
      </c>
      <c r="F98" s="16">
        <v>1.82</v>
      </c>
      <c r="G98" s="14">
        <v>12323</v>
      </c>
      <c r="H98" s="14" t="s">
        <v>24</v>
      </c>
      <c r="I98" s="16">
        <f t="shared" si="5"/>
        <v>16.38</v>
      </c>
      <c r="J98" s="14" t="str">
        <f t="shared" si="6"/>
        <v>May</v>
      </c>
      <c r="K98" s="14">
        <f t="shared" si="8"/>
        <v>2024</v>
      </c>
      <c r="L98" s="14" t="str">
        <f t="shared" si="9"/>
        <v>Completed</v>
      </c>
      <c r="M98" s="18" t="str">
        <f t="shared" si="7"/>
        <v>New</v>
      </c>
    </row>
    <row r="99" spans="1:13" ht="15" thickBot="1" x14ac:dyDescent="0.35">
      <c r="A99" s="17">
        <v>50098</v>
      </c>
      <c r="B99" s="14" t="s">
        <v>15</v>
      </c>
      <c r="C99" s="14" t="s">
        <v>16</v>
      </c>
      <c r="D99" s="14">
        <v>7</v>
      </c>
      <c r="E99" s="15">
        <v>45645.464583333334</v>
      </c>
      <c r="F99" s="16">
        <v>3.01</v>
      </c>
      <c r="G99" s="14">
        <v>12741</v>
      </c>
      <c r="H99" s="14" t="s">
        <v>20</v>
      </c>
      <c r="I99" s="16">
        <f t="shared" si="5"/>
        <v>21.07</v>
      </c>
      <c r="J99" s="14" t="str">
        <f t="shared" si="6"/>
        <v>Dec</v>
      </c>
      <c r="K99" s="14">
        <f t="shared" si="8"/>
        <v>2024</v>
      </c>
      <c r="L99" s="14" t="str">
        <f t="shared" si="9"/>
        <v>Completed</v>
      </c>
      <c r="M99" s="18" t="str">
        <f t="shared" si="7"/>
        <v>Wholesale</v>
      </c>
    </row>
    <row r="100" spans="1:13" ht="15" thickBot="1" x14ac:dyDescent="0.35">
      <c r="A100" s="17">
        <v>50099</v>
      </c>
      <c r="B100" s="14" t="s">
        <v>33</v>
      </c>
      <c r="C100" s="14" t="s">
        <v>34</v>
      </c>
      <c r="D100" s="14">
        <v>4</v>
      </c>
      <c r="E100" s="15">
        <v>45597.53402777778</v>
      </c>
      <c r="F100" s="16">
        <v>17.170000000000002</v>
      </c>
      <c r="G100" s="14">
        <v>12369</v>
      </c>
      <c r="H100" s="14" t="s">
        <v>23</v>
      </c>
      <c r="I100" s="16">
        <f t="shared" si="5"/>
        <v>68.680000000000007</v>
      </c>
      <c r="J100" s="14" t="str">
        <f t="shared" si="6"/>
        <v>Nov</v>
      </c>
      <c r="K100" s="14">
        <f t="shared" si="8"/>
        <v>2024</v>
      </c>
      <c r="L100" s="14" t="str">
        <f t="shared" si="9"/>
        <v>Completed</v>
      </c>
      <c r="M100" s="18" t="str">
        <f t="shared" si="7"/>
        <v>Wholesale</v>
      </c>
    </row>
    <row r="101" spans="1:13" ht="15" thickBot="1" x14ac:dyDescent="0.35">
      <c r="A101" s="17">
        <v>50100</v>
      </c>
      <c r="B101" s="14">
        <v>22960</v>
      </c>
      <c r="C101" s="14" t="s">
        <v>49</v>
      </c>
      <c r="D101" s="14">
        <v>5</v>
      </c>
      <c r="E101" s="15">
        <v>45299.712500000001</v>
      </c>
      <c r="F101" s="16">
        <v>5.0599999999999996</v>
      </c>
      <c r="G101" s="14">
        <v>12566</v>
      </c>
      <c r="H101" s="14" t="s">
        <v>22</v>
      </c>
      <c r="I101" s="16">
        <f t="shared" si="5"/>
        <v>25.299999999999997</v>
      </c>
      <c r="J101" s="14" t="str">
        <f t="shared" si="6"/>
        <v>Jan</v>
      </c>
      <c r="K101" s="14">
        <f t="shared" si="8"/>
        <v>2024</v>
      </c>
      <c r="L101" s="14" t="str">
        <f t="shared" si="9"/>
        <v>Completed</v>
      </c>
      <c r="M101" s="18" t="str">
        <f t="shared" si="7"/>
        <v>Returning</v>
      </c>
    </row>
    <row r="102" spans="1:13" ht="15" thickBot="1" x14ac:dyDescent="0.35">
      <c r="A102" s="17">
        <v>50101</v>
      </c>
      <c r="B102" s="14">
        <v>84879</v>
      </c>
      <c r="C102" s="14" t="s">
        <v>45</v>
      </c>
      <c r="D102" s="14">
        <v>4</v>
      </c>
      <c r="E102" s="15">
        <v>45618.681944444441</v>
      </c>
      <c r="F102" s="16">
        <v>1.78</v>
      </c>
      <c r="G102" s="14">
        <v>12480</v>
      </c>
      <c r="H102" s="14" t="s">
        <v>28</v>
      </c>
      <c r="I102" s="16">
        <f t="shared" si="5"/>
        <v>7.12</v>
      </c>
      <c r="J102" s="14" t="str">
        <f t="shared" si="6"/>
        <v>Nov</v>
      </c>
      <c r="K102" s="14">
        <f t="shared" si="8"/>
        <v>2024</v>
      </c>
      <c r="L102" s="14" t="str">
        <f t="shared" si="9"/>
        <v>Completed</v>
      </c>
      <c r="M102" s="18" t="str">
        <f t="shared" si="7"/>
        <v>Wholesale</v>
      </c>
    </row>
    <row r="103" spans="1:13" ht="15" thickBot="1" x14ac:dyDescent="0.35">
      <c r="A103" s="17">
        <v>50102</v>
      </c>
      <c r="B103" s="14">
        <v>20725</v>
      </c>
      <c r="C103" s="14" t="s">
        <v>19</v>
      </c>
      <c r="D103" s="14">
        <v>2</v>
      </c>
      <c r="E103" s="15">
        <v>45466.463888888888</v>
      </c>
      <c r="F103" s="16">
        <v>1.9</v>
      </c>
      <c r="G103" s="14">
        <v>12116</v>
      </c>
      <c r="H103" s="14" t="s">
        <v>24</v>
      </c>
      <c r="I103" s="16">
        <f t="shared" si="5"/>
        <v>3.8</v>
      </c>
      <c r="J103" s="14" t="str">
        <f t="shared" si="6"/>
        <v>Jun</v>
      </c>
      <c r="K103" s="14">
        <f t="shared" si="8"/>
        <v>2024</v>
      </c>
      <c r="L103" s="14" t="str">
        <f t="shared" si="9"/>
        <v>Completed</v>
      </c>
      <c r="M103" s="18" t="str">
        <f t="shared" si="7"/>
        <v>Returning</v>
      </c>
    </row>
    <row r="104" spans="1:13" ht="15" thickBot="1" x14ac:dyDescent="0.35">
      <c r="A104" s="17">
        <v>50103</v>
      </c>
      <c r="B104" s="14">
        <v>22386</v>
      </c>
      <c r="C104" s="14" t="s">
        <v>29</v>
      </c>
      <c r="D104" s="14">
        <v>19</v>
      </c>
      <c r="E104" s="15">
        <v>45543.385416666664</v>
      </c>
      <c r="F104" s="16">
        <v>1.69</v>
      </c>
      <c r="G104" s="14">
        <v>12152</v>
      </c>
      <c r="H104" s="14" t="s">
        <v>20</v>
      </c>
      <c r="I104" s="16">
        <f t="shared" si="5"/>
        <v>32.11</v>
      </c>
      <c r="J104" s="14" t="str">
        <f t="shared" si="6"/>
        <v>Sep</v>
      </c>
      <c r="K104" s="14">
        <f t="shared" si="8"/>
        <v>2024</v>
      </c>
      <c r="L104" s="14" t="str">
        <f t="shared" si="9"/>
        <v>Completed</v>
      </c>
      <c r="M104" s="18" t="str">
        <f t="shared" si="7"/>
        <v>Returning</v>
      </c>
    </row>
    <row r="105" spans="1:13" ht="15" thickBot="1" x14ac:dyDescent="0.35">
      <c r="A105" s="17">
        <v>50104</v>
      </c>
      <c r="B105" s="14">
        <v>22960</v>
      </c>
      <c r="C105" s="14" t="s">
        <v>49</v>
      </c>
      <c r="D105" s="14">
        <v>4</v>
      </c>
      <c r="E105" s="15">
        <v>45335.509722222225</v>
      </c>
      <c r="F105" s="16">
        <v>4.2300000000000004</v>
      </c>
      <c r="G105" s="14">
        <v>12610</v>
      </c>
      <c r="H105" s="14" t="s">
        <v>20</v>
      </c>
      <c r="I105" s="16">
        <f t="shared" si="5"/>
        <v>16.920000000000002</v>
      </c>
      <c r="J105" s="14" t="str">
        <f t="shared" si="6"/>
        <v>Feb</v>
      </c>
      <c r="K105" s="14">
        <f t="shared" si="8"/>
        <v>2024</v>
      </c>
      <c r="L105" s="14" t="str">
        <f t="shared" si="9"/>
        <v>Completed</v>
      </c>
      <c r="M105" s="18" t="str">
        <f t="shared" si="7"/>
        <v>Returning</v>
      </c>
    </row>
    <row r="106" spans="1:13" ht="15" thickBot="1" x14ac:dyDescent="0.35">
      <c r="A106" s="17">
        <v>50105</v>
      </c>
      <c r="B106" s="14">
        <v>22423</v>
      </c>
      <c r="C106" s="14" t="s">
        <v>36</v>
      </c>
      <c r="D106" s="14">
        <v>15</v>
      </c>
      <c r="E106" s="15">
        <v>45559.603472222225</v>
      </c>
      <c r="F106" s="16">
        <v>12.16</v>
      </c>
      <c r="G106" s="14">
        <v>12602</v>
      </c>
      <c r="H106" s="14" t="s">
        <v>26</v>
      </c>
      <c r="I106" s="16">
        <f t="shared" si="5"/>
        <v>182.4</v>
      </c>
      <c r="J106" s="14" t="str">
        <f t="shared" si="6"/>
        <v>Sep</v>
      </c>
      <c r="K106" s="14">
        <f t="shared" si="8"/>
        <v>2024</v>
      </c>
      <c r="L106" s="14" t="str">
        <f t="shared" si="9"/>
        <v>Completed</v>
      </c>
      <c r="M106" s="18" t="str">
        <f t="shared" si="7"/>
        <v>Returning</v>
      </c>
    </row>
    <row r="107" spans="1:13" ht="15" thickBot="1" x14ac:dyDescent="0.35">
      <c r="A107" s="17">
        <v>50106</v>
      </c>
      <c r="B107" s="14">
        <v>22960</v>
      </c>
      <c r="C107" s="14" t="s">
        <v>49</v>
      </c>
      <c r="D107" s="14">
        <v>20</v>
      </c>
      <c r="E107" s="15">
        <v>45583.375694444447</v>
      </c>
      <c r="F107" s="16">
        <v>3.76</v>
      </c>
      <c r="G107" s="14">
        <v>12781</v>
      </c>
      <c r="H107" s="14" t="s">
        <v>37</v>
      </c>
      <c r="I107" s="16">
        <f t="shared" si="5"/>
        <v>75.199999999999989</v>
      </c>
      <c r="J107" s="14" t="str">
        <f t="shared" si="6"/>
        <v>Oct</v>
      </c>
      <c r="K107" s="14">
        <f t="shared" si="8"/>
        <v>2024</v>
      </c>
      <c r="L107" s="14" t="str">
        <f t="shared" si="9"/>
        <v>Completed</v>
      </c>
      <c r="M107" s="18" t="str">
        <f t="shared" si="7"/>
        <v>New</v>
      </c>
    </row>
    <row r="108" spans="1:13" ht="15" thickBot="1" x14ac:dyDescent="0.35">
      <c r="A108" s="17">
        <v>50107</v>
      </c>
      <c r="B108" s="14">
        <v>22727</v>
      </c>
      <c r="C108" s="14" t="s">
        <v>46</v>
      </c>
      <c r="D108" s="14">
        <v>6</v>
      </c>
      <c r="E108" s="15">
        <v>45427.390972222223</v>
      </c>
      <c r="F108" s="16">
        <v>3.91</v>
      </c>
      <c r="G108" s="14">
        <v>12160</v>
      </c>
      <c r="H108" s="14" t="s">
        <v>14</v>
      </c>
      <c r="I108" s="16">
        <f t="shared" si="5"/>
        <v>23.46</v>
      </c>
      <c r="J108" s="14" t="str">
        <f t="shared" si="6"/>
        <v>May</v>
      </c>
      <c r="K108" s="14">
        <f t="shared" si="8"/>
        <v>2024</v>
      </c>
      <c r="L108" s="14" t="str">
        <f t="shared" si="9"/>
        <v>Completed</v>
      </c>
      <c r="M108" s="18" t="str">
        <f t="shared" si="7"/>
        <v>Returning</v>
      </c>
    </row>
    <row r="109" spans="1:13" ht="15" thickBot="1" x14ac:dyDescent="0.35">
      <c r="A109" s="17" t="s">
        <v>53</v>
      </c>
      <c r="B109" s="14" t="s">
        <v>39</v>
      </c>
      <c r="C109" s="14" t="s">
        <v>40</v>
      </c>
      <c r="D109" s="14">
        <v>-5</v>
      </c>
      <c r="E109" s="15">
        <v>45522.667361111111</v>
      </c>
      <c r="F109" s="16">
        <v>2.2799999999999998</v>
      </c>
      <c r="G109" s="14">
        <v>12719</v>
      </c>
      <c r="H109" s="14" t="s">
        <v>28</v>
      </c>
      <c r="I109" s="16">
        <f t="shared" si="5"/>
        <v>-11.399999999999999</v>
      </c>
      <c r="J109" s="14" t="str">
        <f t="shared" si="6"/>
        <v>Aug</v>
      </c>
      <c r="K109" s="14">
        <f t="shared" si="8"/>
        <v>2024</v>
      </c>
      <c r="L109" s="14" t="str">
        <f t="shared" si="9"/>
        <v>Cancelled</v>
      </c>
      <c r="M109" s="18" t="str">
        <f t="shared" si="7"/>
        <v>New</v>
      </c>
    </row>
    <row r="110" spans="1:13" ht="15" thickBot="1" x14ac:dyDescent="0.35">
      <c r="A110" s="17">
        <v>50109</v>
      </c>
      <c r="B110" s="14" t="s">
        <v>12</v>
      </c>
      <c r="C110" s="14" t="s">
        <v>13</v>
      </c>
      <c r="D110" s="14">
        <v>9</v>
      </c>
      <c r="E110" s="15">
        <v>45643.499305555553</v>
      </c>
      <c r="F110" s="16">
        <v>2.94</v>
      </c>
      <c r="G110" s="14">
        <v>12677</v>
      </c>
      <c r="H110" s="14" t="s">
        <v>37</v>
      </c>
      <c r="I110" s="16">
        <f t="shared" si="5"/>
        <v>26.46</v>
      </c>
      <c r="J110" s="14" t="str">
        <f t="shared" si="6"/>
        <v>Dec</v>
      </c>
      <c r="K110" s="14">
        <f t="shared" si="8"/>
        <v>2024</v>
      </c>
      <c r="L110" s="14" t="str">
        <f t="shared" si="9"/>
        <v>Completed</v>
      </c>
      <c r="M110" s="18" t="str">
        <f t="shared" si="7"/>
        <v>New</v>
      </c>
    </row>
    <row r="111" spans="1:13" ht="15" thickBot="1" x14ac:dyDescent="0.35">
      <c r="A111" s="17">
        <v>50110</v>
      </c>
      <c r="B111" s="14" t="s">
        <v>39</v>
      </c>
      <c r="C111" s="14" t="s">
        <v>40</v>
      </c>
      <c r="D111" s="14">
        <v>8</v>
      </c>
      <c r="E111" s="15">
        <v>45350.720138888886</v>
      </c>
      <c r="F111" s="16">
        <v>2.4300000000000002</v>
      </c>
      <c r="G111" s="14">
        <v>12846</v>
      </c>
      <c r="H111" s="14" t="s">
        <v>23</v>
      </c>
      <c r="I111" s="16">
        <f t="shared" si="5"/>
        <v>19.440000000000001</v>
      </c>
      <c r="J111" s="14" t="str">
        <f t="shared" si="6"/>
        <v>Feb</v>
      </c>
      <c r="K111" s="14">
        <f t="shared" si="8"/>
        <v>2024</v>
      </c>
      <c r="L111" s="14" t="str">
        <f t="shared" si="9"/>
        <v>Completed</v>
      </c>
      <c r="M111" s="18" t="str">
        <f t="shared" si="7"/>
        <v>Wholesale</v>
      </c>
    </row>
    <row r="112" spans="1:13" ht="15" thickBot="1" x14ac:dyDescent="0.35">
      <c r="A112" s="17">
        <v>50111</v>
      </c>
      <c r="B112" s="14" t="s">
        <v>12</v>
      </c>
      <c r="C112" s="14" t="s">
        <v>13</v>
      </c>
      <c r="D112" s="14">
        <v>10</v>
      </c>
      <c r="E112" s="15">
        <v>45322.450694444444</v>
      </c>
      <c r="F112" s="16">
        <v>3.13</v>
      </c>
      <c r="G112" s="14">
        <v>12943</v>
      </c>
      <c r="H112" s="14" t="s">
        <v>22</v>
      </c>
      <c r="I112" s="16">
        <f t="shared" si="5"/>
        <v>31.299999999999997</v>
      </c>
      <c r="J112" s="14" t="str">
        <f t="shared" si="6"/>
        <v>Jan</v>
      </c>
      <c r="K112" s="14">
        <f t="shared" si="8"/>
        <v>2024</v>
      </c>
      <c r="L112" s="14" t="str">
        <f t="shared" si="9"/>
        <v>Completed</v>
      </c>
      <c r="M112" s="18" t="str">
        <f t="shared" si="7"/>
        <v>New</v>
      </c>
    </row>
    <row r="113" spans="1:13" ht="15" thickBot="1" x14ac:dyDescent="0.35">
      <c r="A113" s="17">
        <v>50112</v>
      </c>
      <c r="B113" s="14">
        <v>20725</v>
      </c>
      <c r="C113" s="14" t="s">
        <v>19</v>
      </c>
      <c r="D113" s="14">
        <v>23</v>
      </c>
      <c r="E113" s="15">
        <v>45355.665972222225</v>
      </c>
      <c r="F113" s="16">
        <v>1.63</v>
      </c>
      <c r="G113" s="14">
        <v>12278</v>
      </c>
      <c r="H113" s="14" t="s">
        <v>10</v>
      </c>
      <c r="I113" s="16">
        <f t="shared" si="5"/>
        <v>37.489999999999995</v>
      </c>
      <c r="J113" s="14" t="str">
        <f t="shared" si="6"/>
        <v>Mar</v>
      </c>
      <c r="K113" s="14">
        <f t="shared" si="8"/>
        <v>2024</v>
      </c>
      <c r="L113" s="14" t="str">
        <f t="shared" si="9"/>
        <v>Completed</v>
      </c>
      <c r="M113" s="18" t="str">
        <f t="shared" si="7"/>
        <v>Returning</v>
      </c>
    </row>
    <row r="114" spans="1:13" ht="15" thickBot="1" x14ac:dyDescent="0.35">
      <c r="A114" s="17">
        <v>50113</v>
      </c>
      <c r="B114" s="14" t="s">
        <v>15</v>
      </c>
      <c r="C114" s="14" t="s">
        <v>16</v>
      </c>
      <c r="D114" s="14">
        <v>3</v>
      </c>
      <c r="E114" s="15">
        <v>45544.644444444442</v>
      </c>
      <c r="F114" s="16">
        <v>3.43</v>
      </c>
      <c r="G114" s="14">
        <v>12752</v>
      </c>
      <c r="H114" s="14" t="s">
        <v>18</v>
      </c>
      <c r="I114" s="16">
        <f t="shared" si="5"/>
        <v>10.290000000000001</v>
      </c>
      <c r="J114" s="14" t="str">
        <f t="shared" si="6"/>
        <v>Sep</v>
      </c>
      <c r="K114" s="14">
        <f t="shared" si="8"/>
        <v>2024</v>
      </c>
      <c r="L114" s="14" t="str">
        <f t="shared" si="9"/>
        <v>Completed</v>
      </c>
      <c r="M114" s="18" t="str">
        <f t="shared" si="7"/>
        <v>Returning</v>
      </c>
    </row>
    <row r="115" spans="1:13" ht="15" thickBot="1" x14ac:dyDescent="0.35">
      <c r="A115" s="17">
        <v>50114</v>
      </c>
      <c r="B115" s="14">
        <v>84991</v>
      </c>
      <c r="C115" s="14" t="s">
        <v>25</v>
      </c>
      <c r="D115" s="14">
        <v>3</v>
      </c>
      <c r="E115" s="15">
        <v>45420.351388888892</v>
      </c>
      <c r="F115" s="16">
        <v>0.6</v>
      </c>
      <c r="G115" s="14">
        <v>12881</v>
      </c>
      <c r="H115" s="14" t="s">
        <v>20</v>
      </c>
      <c r="I115" s="16">
        <f t="shared" si="5"/>
        <v>1.7999999999999998</v>
      </c>
      <c r="J115" s="14" t="str">
        <f t="shared" si="6"/>
        <v>May</v>
      </c>
      <c r="K115" s="14">
        <f t="shared" si="8"/>
        <v>2024</v>
      </c>
      <c r="L115" s="14" t="str">
        <f t="shared" si="9"/>
        <v>Completed</v>
      </c>
      <c r="M115" s="18" t="str">
        <f t="shared" si="7"/>
        <v>New</v>
      </c>
    </row>
    <row r="116" spans="1:13" ht="15" thickBot="1" x14ac:dyDescent="0.35">
      <c r="A116" s="17" t="s">
        <v>54</v>
      </c>
      <c r="B116" s="14" t="s">
        <v>43</v>
      </c>
      <c r="C116" s="14" t="s">
        <v>44</v>
      </c>
      <c r="D116" s="14">
        <v>-3</v>
      </c>
      <c r="E116" s="15">
        <v>45302.524305555555</v>
      </c>
      <c r="F116" s="16">
        <v>1.27</v>
      </c>
      <c r="G116" s="14">
        <v>12667</v>
      </c>
      <c r="H116" s="14" t="s">
        <v>28</v>
      </c>
      <c r="I116" s="16">
        <f t="shared" si="5"/>
        <v>-3.81</v>
      </c>
      <c r="J116" s="14" t="str">
        <f t="shared" si="6"/>
        <v>Jan</v>
      </c>
      <c r="K116" s="14">
        <f t="shared" si="8"/>
        <v>2024</v>
      </c>
      <c r="L116" s="14" t="str">
        <f t="shared" si="9"/>
        <v>Cancelled</v>
      </c>
      <c r="M116" s="18" t="str">
        <f t="shared" si="7"/>
        <v>New</v>
      </c>
    </row>
    <row r="117" spans="1:13" ht="15" thickBot="1" x14ac:dyDescent="0.35">
      <c r="A117" s="17">
        <v>50116</v>
      </c>
      <c r="B117" s="14">
        <v>47566</v>
      </c>
      <c r="C117" s="14" t="s">
        <v>27</v>
      </c>
      <c r="D117" s="14">
        <v>14</v>
      </c>
      <c r="E117" s="15">
        <v>45384.749305555553</v>
      </c>
      <c r="F117" s="16">
        <v>5.0599999999999996</v>
      </c>
      <c r="G117" s="14">
        <v>12093</v>
      </c>
      <c r="H117" s="14" t="s">
        <v>28</v>
      </c>
      <c r="I117" s="16">
        <f t="shared" si="5"/>
        <v>70.839999999999989</v>
      </c>
      <c r="J117" s="14" t="str">
        <f t="shared" si="6"/>
        <v>Apr</v>
      </c>
      <c r="K117" s="14">
        <f t="shared" si="8"/>
        <v>2024</v>
      </c>
      <c r="L117" s="14" t="str">
        <f t="shared" si="9"/>
        <v>Completed</v>
      </c>
      <c r="M117" s="18" t="str">
        <f t="shared" si="7"/>
        <v>Wholesale</v>
      </c>
    </row>
    <row r="118" spans="1:13" ht="15" thickBot="1" x14ac:dyDescent="0.35">
      <c r="A118" s="17">
        <v>50117</v>
      </c>
      <c r="B118" s="14">
        <v>21212</v>
      </c>
      <c r="C118" s="14" t="s">
        <v>21</v>
      </c>
      <c r="D118" s="14">
        <v>11</v>
      </c>
      <c r="E118" s="15">
        <v>45501.570138888892</v>
      </c>
      <c r="F118" s="16">
        <v>0.63</v>
      </c>
      <c r="G118" s="14">
        <v>12337</v>
      </c>
      <c r="H118" s="14" t="s">
        <v>26</v>
      </c>
      <c r="I118" s="16">
        <f t="shared" si="5"/>
        <v>6.93</v>
      </c>
      <c r="J118" s="14" t="str">
        <f t="shared" si="6"/>
        <v>Jul</v>
      </c>
      <c r="K118" s="14">
        <f t="shared" si="8"/>
        <v>2024</v>
      </c>
      <c r="L118" s="14" t="str">
        <f t="shared" si="9"/>
        <v>Completed</v>
      </c>
      <c r="M118" s="18" t="str">
        <f t="shared" si="7"/>
        <v>New</v>
      </c>
    </row>
    <row r="119" spans="1:13" ht="15" thickBot="1" x14ac:dyDescent="0.35">
      <c r="A119" s="17" t="s">
        <v>55</v>
      </c>
      <c r="B119" s="14">
        <v>23203</v>
      </c>
      <c r="C119" s="14" t="s">
        <v>30</v>
      </c>
      <c r="D119" s="14">
        <v>-2</v>
      </c>
      <c r="E119" s="15">
        <v>45439.618055555555</v>
      </c>
      <c r="F119" s="16">
        <v>2</v>
      </c>
      <c r="G119" s="14">
        <v>12331</v>
      </c>
      <c r="H119" s="14" t="s">
        <v>24</v>
      </c>
      <c r="I119" s="16">
        <f t="shared" si="5"/>
        <v>-4</v>
      </c>
      <c r="J119" s="14" t="str">
        <f t="shared" si="6"/>
        <v>May</v>
      </c>
      <c r="K119" s="14">
        <f t="shared" si="8"/>
        <v>2024</v>
      </c>
      <c r="L119" s="14" t="str">
        <f t="shared" si="9"/>
        <v>Cancelled</v>
      </c>
      <c r="M119" s="18" t="str">
        <f t="shared" si="7"/>
        <v>New</v>
      </c>
    </row>
    <row r="120" spans="1:13" ht="15" thickBot="1" x14ac:dyDescent="0.35">
      <c r="A120" s="17">
        <v>50119</v>
      </c>
      <c r="B120" s="14">
        <v>22386</v>
      </c>
      <c r="C120" s="14" t="s">
        <v>29</v>
      </c>
      <c r="D120" s="14">
        <v>22</v>
      </c>
      <c r="E120" s="15">
        <v>45555.334027777775</v>
      </c>
      <c r="F120" s="16">
        <v>1.97</v>
      </c>
      <c r="G120" s="14">
        <v>12055</v>
      </c>
      <c r="H120" s="14" t="s">
        <v>37</v>
      </c>
      <c r="I120" s="16">
        <f t="shared" si="5"/>
        <v>43.339999999999996</v>
      </c>
      <c r="J120" s="14" t="str">
        <f t="shared" si="6"/>
        <v>Sep</v>
      </c>
      <c r="K120" s="14">
        <f t="shared" si="8"/>
        <v>2024</v>
      </c>
      <c r="L120" s="14" t="str">
        <f t="shared" si="9"/>
        <v>Completed</v>
      </c>
      <c r="M120" s="18" t="str">
        <f t="shared" si="7"/>
        <v>New</v>
      </c>
    </row>
    <row r="121" spans="1:13" ht="15" thickBot="1" x14ac:dyDescent="0.35">
      <c r="A121" s="17">
        <v>50120</v>
      </c>
      <c r="B121" s="14" t="s">
        <v>33</v>
      </c>
      <c r="C121" s="14" t="s">
        <v>34</v>
      </c>
      <c r="D121" s="14">
        <v>21</v>
      </c>
      <c r="E121" s="15">
        <v>45477.6875</v>
      </c>
      <c r="F121" s="16">
        <v>15.63</v>
      </c>
      <c r="G121" s="14">
        <v>12273</v>
      </c>
      <c r="H121" s="14" t="s">
        <v>10</v>
      </c>
      <c r="I121" s="16">
        <f t="shared" si="5"/>
        <v>328.23</v>
      </c>
      <c r="J121" s="14" t="str">
        <f t="shared" si="6"/>
        <v>Jul</v>
      </c>
      <c r="K121" s="14">
        <f t="shared" si="8"/>
        <v>2024</v>
      </c>
      <c r="L121" s="14" t="str">
        <f t="shared" si="9"/>
        <v>Completed</v>
      </c>
      <c r="M121" s="18" t="str">
        <f t="shared" si="7"/>
        <v>Wholesale</v>
      </c>
    </row>
    <row r="122" spans="1:13" ht="15" thickBot="1" x14ac:dyDescent="0.35">
      <c r="A122" s="17">
        <v>50121</v>
      </c>
      <c r="B122" s="14">
        <v>84879</v>
      </c>
      <c r="C122" s="14" t="s">
        <v>45</v>
      </c>
      <c r="D122" s="14">
        <v>23</v>
      </c>
      <c r="E122" s="15">
        <v>45439.644444444442</v>
      </c>
      <c r="F122" s="16">
        <v>1.45</v>
      </c>
      <c r="G122" s="14">
        <v>12645</v>
      </c>
      <c r="H122" s="14" t="s">
        <v>20</v>
      </c>
      <c r="I122" s="16">
        <f t="shared" si="5"/>
        <v>33.35</v>
      </c>
      <c r="J122" s="14" t="str">
        <f t="shared" si="6"/>
        <v>May</v>
      </c>
      <c r="K122" s="14">
        <f t="shared" si="8"/>
        <v>2024</v>
      </c>
      <c r="L122" s="14" t="str">
        <f t="shared" si="9"/>
        <v>Completed</v>
      </c>
      <c r="M122" s="18" t="str">
        <f t="shared" si="7"/>
        <v>Wholesale</v>
      </c>
    </row>
    <row r="123" spans="1:13" ht="15" thickBot="1" x14ac:dyDescent="0.35">
      <c r="A123" s="17">
        <v>50122</v>
      </c>
      <c r="B123" s="14">
        <v>22423</v>
      </c>
      <c r="C123" s="14" t="s">
        <v>36</v>
      </c>
      <c r="D123" s="14">
        <v>10</v>
      </c>
      <c r="E123" s="15">
        <v>45655.445833333331</v>
      </c>
      <c r="F123" s="16">
        <v>13.3</v>
      </c>
      <c r="G123" s="14">
        <v>12095</v>
      </c>
      <c r="H123" s="14" t="s">
        <v>37</v>
      </c>
      <c r="I123" s="16">
        <f t="shared" si="5"/>
        <v>133</v>
      </c>
      <c r="J123" s="14" t="str">
        <f t="shared" si="6"/>
        <v>Dec</v>
      </c>
      <c r="K123" s="14">
        <f t="shared" si="8"/>
        <v>2024</v>
      </c>
      <c r="L123" s="14" t="str">
        <f t="shared" si="9"/>
        <v>Completed</v>
      </c>
      <c r="M123" s="18" t="str">
        <f t="shared" si="7"/>
        <v>New</v>
      </c>
    </row>
    <row r="124" spans="1:13" ht="15" thickBot="1" x14ac:dyDescent="0.35">
      <c r="A124" s="17">
        <v>50123</v>
      </c>
      <c r="B124" s="14" t="s">
        <v>8</v>
      </c>
      <c r="C124" s="14" t="s">
        <v>9</v>
      </c>
      <c r="D124" s="14">
        <v>21</v>
      </c>
      <c r="E124" s="15">
        <v>45528.416666666664</v>
      </c>
      <c r="F124" s="16">
        <v>3.47</v>
      </c>
      <c r="G124" s="14">
        <v>12733</v>
      </c>
      <c r="H124" s="14" t="s">
        <v>22</v>
      </c>
      <c r="I124" s="16">
        <f t="shared" si="5"/>
        <v>72.87</v>
      </c>
      <c r="J124" s="14" t="str">
        <f t="shared" si="6"/>
        <v>Aug</v>
      </c>
      <c r="K124" s="14">
        <f t="shared" si="8"/>
        <v>2024</v>
      </c>
      <c r="L124" s="14" t="str">
        <f t="shared" si="9"/>
        <v>Completed</v>
      </c>
      <c r="M124" s="18" t="str">
        <f t="shared" si="7"/>
        <v>New</v>
      </c>
    </row>
    <row r="125" spans="1:13" ht="15" thickBot="1" x14ac:dyDescent="0.35">
      <c r="A125" s="17">
        <v>50124</v>
      </c>
      <c r="B125" s="14" t="s">
        <v>33</v>
      </c>
      <c r="C125" s="14" t="s">
        <v>34</v>
      </c>
      <c r="D125" s="14">
        <v>14</v>
      </c>
      <c r="E125" s="15">
        <v>45653.527083333334</v>
      </c>
      <c r="F125" s="16">
        <v>21.48</v>
      </c>
      <c r="G125" s="14">
        <v>12249</v>
      </c>
      <c r="H125" s="14" t="s">
        <v>28</v>
      </c>
      <c r="I125" s="16">
        <f t="shared" si="5"/>
        <v>300.72000000000003</v>
      </c>
      <c r="J125" s="14" t="str">
        <f t="shared" si="6"/>
        <v>Dec</v>
      </c>
      <c r="K125" s="14">
        <f t="shared" si="8"/>
        <v>2024</v>
      </c>
      <c r="L125" s="14" t="str">
        <f t="shared" si="9"/>
        <v>Completed</v>
      </c>
      <c r="M125" s="18" t="str">
        <f t="shared" si="7"/>
        <v>Wholesale</v>
      </c>
    </row>
    <row r="126" spans="1:13" ht="15" thickBot="1" x14ac:dyDescent="0.35">
      <c r="A126" s="17">
        <v>50125</v>
      </c>
      <c r="B126" s="14" t="s">
        <v>15</v>
      </c>
      <c r="C126" s="14" t="s">
        <v>16</v>
      </c>
      <c r="D126" s="14">
        <v>7</v>
      </c>
      <c r="E126" s="15">
        <v>45366.605555555558</v>
      </c>
      <c r="F126" s="16">
        <v>3.03</v>
      </c>
      <c r="G126" s="14">
        <v>12900</v>
      </c>
      <c r="H126" s="14" t="s">
        <v>23</v>
      </c>
      <c r="I126" s="16">
        <f t="shared" si="5"/>
        <v>21.209999999999997</v>
      </c>
      <c r="J126" s="14" t="str">
        <f t="shared" si="6"/>
        <v>Mar</v>
      </c>
      <c r="K126" s="14">
        <f t="shared" si="8"/>
        <v>2024</v>
      </c>
      <c r="L126" s="14" t="str">
        <f t="shared" si="9"/>
        <v>Completed</v>
      </c>
      <c r="M126" s="18" t="str">
        <f t="shared" si="7"/>
        <v>Wholesale</v>
      </c>
    </row>
    <row r="127" spans="1:13" ht="15" thickBot="1" x14ac:dyDescent="0.35">
      <c r="A127" s="17">
        <v>50126</v>
      </c>
      <c r="B127" s="14" t="s">
        <v>12</v>
      </c>
      <c r="C127" s="14" t="s">
        <v>13</v>
      </c>
      <c r="D127" s="14">
        <v>11</v>
      </c>
      <c r="E127" s="15">
        <v>45433.62777777778</v>
      </c>
      <c r="F127" s="16">
        <v>2.83</v>
      </c>
      <c r="G127" s="14">
        <v>12840</v>
      </c>
      <c r="H127" s="14" t="s">
        <v>14</v>
      </c>
      <c r="I127" s="16">
        <f t="shared" si="5"/>
        <v>31.130000000000003</v>
      </c>
      <c r="J127" s="14" t="str">
        <f t="shared" si="6"/>
        <v>May</v>
      </c>
      <c r="K127" s="14">
        <f t="shared" si="8"/>
        <v>2024</v>
      </c>
      <c r="L127" s="14" t="str">
        <f t="shared" si="9"/>
        <v>Completed</v>
      </c>
      <c r="M127" s="18" t="str">
        <f t="shared" si="7"/>
        <v>Wholesale</v>
      </c>
    </row>
    <row r="128" spans="1:13" ht="15" thickBot="1" x14ac:dyDescent="0.35">
      <c r="A128" s="17">
        <v>50127</v>
      </c>
      <c r="B128" s="14">
        <v>22960</v>
      </c>
      <c r="C128" s="14" t="s">
        <v>49</v>
      </c>
      <c r="D128" s="14">
        <v>22</v>
      </c>
      <c r="E128" s="15">
        <v>45444.745138888888</v>
      </c>
      <c r="F128" s="16">
        <v>3.83</v>
      </c>
      <c r="G128" s="14">
        <v>12551</v>
      </c>
      <c r="H128" s="14" t="s">
        <v>28</v>
      </c>
      <c r="I128" s="16">
        <f t="shared" si="5"/>
        <v>84.26</v>
      </c>
      <c r="J128" s="14" t="str">
        <f t="shared" si="6"/>
        <v>Jun</v>
      </c>
      <c r="K128" s="14">
        <f t="shared" si="8"/>
        <v>2024</v>
      </c>
      <c r="L128" s="14" t="str">
        <f t="shared" si="9"/>
        <v>Completed</v>
      </c>
      <c r="M128" s="18" t="str">
        <f t="shared" si="7"/>
        <v>New</v>
      </c>
    </row>
    <row r="129" spans="1:13" ht="15" thickBot="1" x14ac:dyDescent="0.35">
      <c r="A129" s="17">
        <v>50128</v>
      </c>
      <c r="B129" s="14">
        <v>21212</v>
      </c>
      <c r="C129" s="14" t="s">
        <v>21</v>
      </c>
      <c r="D129" s="14">
        <v>18</v>
      </c>
      <c r="E129" s="15">
        <v>45462.725694444445</v>
      </c>
      <c r="F129" s="16">
        <v>0.65</v>
      </c>
      <c r="G129" s="14">
        <v>12890</v>
      </c>
      <c r="H129" s="14" t="s">
        <v>37</v>
      </c>
      <c r="I129" s="16">
        <f t="shared" si="5"/>
        <v>11.700000000000001</v>
      </c>
      <c r="J129" s="14" t="str">
        <f t="shared" si="6"/>
        <v>Jun</v>
      </c>
      <c r="K129" s="14">
        <f t="shared" si="8"/>
        <v>2024</v>
      </c>
      <c r="L129" s="14" t="str">
        <f t="shared" si="9"/>
        <v>Completed</v>
      </c>
      <c r="M129" s="18" t="str">
        <f t="shared" si="7"/>
        <v>Returning</v>
      </c>
    </row>
    <row r="130" spans="1:13" ht="15" thickBot="1" x14ac:dyDescent="0.35">
      <c r="A130" s="17">
        <v>50129</v>
      </c>
      <c r="B130" s="14">
        <v>22423</v>
      </c>
      <c r="C130" s="14" t="s">
        <v>36</v>
      </c>
      <c r="D130" s="14">
        <v>8</v>
      </c>
      <c r="E130" s="15">
        <v>45584.605555555558</v>
      </c>
      <c r="F130" s="16">
        <v>12.67</v>
      </c>
      <c r="G130" s="14">
        <v>12325</v>
      </c>
      <c r="H130" s="14" t="s">
        <v>28</v>
      </c>
      <c r="I130" s="16">
        <f t="shared" ref="I130:I193" si="10">D130*F130</f>
        <v>101.36</v>
      </c>
      <c r="J130" s="14" t="str">
        <f t="shared" ref="J130:J193" si="11">TEXT(E130,"mmm")</f>
        <v>Oct</v>
      </c>
      <c r="K130" s="14">
        <f t="shared" si="8"/>
        <v>2024</v>
      </c>
      <c r="L130" s="14" t="str">
        <f t="shared" si="9"/>
        <v>Completed</v>
      </c>
      <c r="M130" s="18" t="str">
        <f t="shared" ref="M130:M193" si="12">IF(G130=0,"Unknown",IF(MOD(G130,3)=0,"Wholesale",IF(MOD(G130,2)=0,"Returning","New")))</f>
        <v>New</v>
      </c>
    </row>
    <row r="131" spans="1:13" ht="15" thickBot="1" x14ac:dyDescent="0.35">
      <c r="A131" s="17">
        <v>50130</v>
      </c>
      <c r="B131" s="14">
        <v>22386</v>
      </c>
      <c r="C131" s="14" t="s">
        <v>29</v>
      </c>
      <c r="D131" s="14">
        <v>16</v>
      </c>
      <c r="E131" s="15">
        <v>45489.440972222219</v>
      </c>
      <c r="F131" s="16">
        <v>1.74</v>
      </c>
      <c r="G131" s="14">
        <v>12988</v>
      </c>
      <c r="H131" s="14" t="s">
        <v>20</v>
      </c>
      <c r="I131" s="16">
        <f t="shared" si="10"/>
        <v>27.84</v>
      </c>
      <c r="J131" s="14" t="str">
        <f t="shared" si="11"/>
        <v>Jul</v>
      </c>
      <c r="K131" s="14">
        <f t="shared" ref="K131:K194" si="13">YEAR(E131)</f>
        <v>2024</v>
      </c>
      <c r="L131" s="14" t="str">
        <f t="shared" ref="L131:L194" si="14">IF(OR(LEFT(A131,1)="C",D131&lt;0),"Cancelled","Completed")</f>
        <v>Completed</v>
      </c>
      <c r="M131" s="18" t="str">
        <f t="shared" si="12"/>
        <v>Returning</v>
      </c>
    </row>
    <row r="132" spans="1:13" ht="15" thickBot="1" x14ac:dyDescent="0.35">
      <c r="A132" s="17">
        <v>50131</v>
      </c>
      <c r="B132" s="14">
        <v>22086</v>
      </c>
      <c r="C132" s="14" t="s">
        <v>41</v>
      </c>
      <c r="D132" s="14">
        <v>4</v>
      </c>
      <c r="E132" s="15">
        <v>45343.645833333336</v>
      </c>
      <c r="F132" s="16">
        <v>2.98</v>
      </c>
      <c r="G132" s="14">
        <v>12739</v>
      </c>
      <c r="H132" s="14" t="s">
        <v>23</v>
      </c>
      <c r="I132" s="16">
        <f t="shared" si="10"/>
        <v>11.92</v>
      </c>
      <c r="J132" s="14" t="str">
        <f t="shared" si="11"/>
        <v>Feb</v>
      </c>
      <c r="K132" s="14">
        <f t="shared" si="13"/>
        <v>2024</v>
      </c>
      <c r="L132" s="14" t="str">
        <f t="shared" si="14"/>
        <v>Completed</v>
      </c>
      <c r="M132" s="18" t="str">
        <f t="shared" si="12"/>
        <v>New</v>
      </c>
    </row>
    <row r="133" spans="1:13" ht="15" thickBot="1" x14ac:dyDescent="0.35">
      <c r="A133" s="17">
        <v>50132</v>
      </c>
      <c r="B133" s="14" t="s">
        <v>39</v>
      </c>
      <c r="C133" s="14" t="s">
        <v>40</v>
      </c>
      <c r="D133" s="14">
        <v>3</v>
      </c>
      <c r="E133" s="15">
        <v>45627.443055555559</v>
      </c>
      <c r="F133" s="16">
        <v>2.4700000000000002</v>
      </c>
      <c r="G133" s="14">
        <v>12346</v>
      </c>
      <c r="H133" s="14" t="s">
        <v>20</v>
      </c>
      <c r="I133" s="16">
        <f t="shared" si="10"/>
        <v>7.41</v>
      </c>
      <c r="J133" s="14" t="str">
        <f t="shared" si="11"/>
        <v>Dec</v>
      </c>
      <c r="K133" s="14">
        <f t="shared" si="13"/>
        <v>2024</v>
      </c>
      <c r="L133" s="14" t="str">
        <f t="shared" si="14"/>
        <v>Completed</v>
      </c>
      <c r="M133" s="18" t="str">
        <f t="shared" si="12"/>
        <v>Returning</v>
      </c>
    </row>
    <row r="134" spans="1:13" ht="15" thickBot="1" x14ac:dyDescent="0.35">
      <c r="A134" s="17">
        <v>50133</v>
      </c>
      <c r="B134" s="14">
        <v>22386</v>
      </c>
      <c r="C134" s="14" t="s">
        <v>29</v>
      </c>
      <c r="D134" s="14">
        <v>11</v>
      </c>
      <c r="E134" s="15">
        <v>45624.390277777777</v>
      </c>
      <c r="F134" s="16">
        <v>2.2400000000000002</v>
      </c>
      <c r="G134" s="14">
        <v>12389</v>
      </c>
      <c r="H134" s="14" t="s">
        <v>18</v>
      </c>
      <c r="I134" s="16">
        <f t="shared" si="10"/>
        <v>24.64</v>
      </c>
      <c r="J134" s="14" t="str">
        <f t="shared" si="11"/>
        <v>Nov</v>
      </c>
      <c r="K134" s="14">
        <f t="shared" si="13"/>
        <v>2024</v>
      </c>
      <c r="L134" s="14" t="str">
        <f t="shared" si="14"/>
        <v>Completed</v>
      </c>
      <c r="M134" s="18" t="str">
        <f t="shared" si="12"/>
        <v>New</v>
      </c>
    </row>
    <row r="135" spans="1:13" ht="15" thickBot="1" x14ac:dyDescent="0.35">
      <c r="A135" s="17">
        <v>50134</v>
      </c>
      <c r="B135" s="14">
        <v>23203</v>
      </c>
      <c r="C135" s="14" t="s">
        <v>30</v>
      </c>
      <c r="D135" s="14">
        <v>20</v>
      </c>
      <c r="E135" s="15">
        <v>45569.35833333333</v>
      </c>
      <c r="F135" s="16">
        <v>2.23</v>
      </c>
      <c r="G135" s="14">
        <v>12943</v>
      </c>
      <c r="H135" s="14" t="s">
        <v>22</v>
      </c>
      <c r="I135" s="16">
        <f t="shared" si="10"/>
        <v>44.6</v>
      </c>
      <c r="J135" s="14" t="str">
        <f t="shared" si="11"/>
        <v>Oct</v>
      </c>
      <c r="K135" s="14">
        <f t="shared" si="13"/>
        <v>2024</v>
      </c>
      <c r="L135" s="14" t="str">
        <f t="shared" si="14"/>
        <v>Completed</v>
      </c>
      <c r="M135" s="18" t="str">
        <f t="shared" si="12"/>
        <v>New</v>
      </c>
    </row>
    <row r="136" spans="1:13" ht="15" thickBot="1" x14ac:dyDescent="0.35">
      <c r="A136" s="17">
        <v>50135</v>
      </c>
      <c r="B136" s="14">
        <v>22423</v>
      </c>
      <c r="C136" s="14" t="s">
        <v>36</v>
      </c>
      <c r="D136" s="14">
        <v>4</v>
      </c>
      <c r="E136" s="15">
        <v>45338.64166666667</v>
      </c>
      <c r="F136" s="16">
        <v>13.98</v>
      </c>
      <c r="G136" s="14">
        <v>12102</v>
      </c>
      <c r="H136" s="14" t="s">
        <v>28</v>
      </c>
      <c r="I136" s="16">
        <f t="shared" si="10"/>
        <v>55.92</v>
      </c>
      <c r="J136" s="14" t="str">
        <f t="shared" si="11"/>
        <v>Feb</v>
      </c>
      <c r="K136" s="14">
        <f t="shared" si="13"/>
        <v>2024</v>
      </c>
      <c r="L136" s="14" t="str">
        <f t="shared" si="14"/>
        <v>Completed</v>
      </c>
      <c r="M136" s="18" t="str">
        <f t="shared" si="12"/>
        <v>Wholesale</v>
      </c>
    </row>
    <row r="137" spans="1:13" ht="15" thickBot="1" x14ac:dyDescent="0.35">
      <c r="A137" s="17" t="s">
        <v>56</v>
      </c>
      <c r="B137" s="14">
        <v>22720</v>
      </c>
      <c r="C137" s="14" t="s">
        <v>17</v>
      </c>
      <c r="D137" s="14">
        <v>-1</v>
      </c>
      <c r="E137" s="15">
        <v>45647.54583333333</v>
      </c>
      <c r="F137" s="16">
        <v>4.72</v>
      </c>
      <c r="G137" s="14">
        <v>12383</v>
      </c>
      <c r="H137" s="14" t="s">
        <v>26</v>
      </c>
      <c r="I137" s="16">
        <f t="shared" si="10"/>
        <v>-4.72</v>
      </c>
      <c r="J137" s="14" t="str">
        <f t="shared" si="11"/>
        <v>Dec</v>
      </c>
      <c r="K137" s="14">
        <f t="shared" si="13"/>
        <v>2024</v>
      </c>
      <c r="L137" s="14" t="str">
        <f t="shared" si="14"/>
        <v>Cancelled</v>
      </c>
      <c r="M137" s="18" t="str">
        <f t="shared" si="12"/>
        <v>New</v>
      </c>
    </row>
    <row r="138" spans="1:13" ht="15" thickBot="1" x14ac:dyDescent="0.35">
      <c r="A138" s="17">
        <v>50137</v>
      </c>
      <c r="B138" s="14">
        <v>84879</v>
      </c>
      <c r="C138" s="14" t="s">
        <v>45</v>
      </c>
      <c r="D138" s="14">
        <v>14</v>
      </c>
      <c r="E138" s="15">
        <v>45417.710416666669</v>
      </c>
      <c r="F138" s="16">
        <v>1.91</v>
      </c>
      <c r="G138" s="14">
        <v>12174</v>
      </c>
      <c r="H138" s="14" t="s">
        <v>23</v>
      </c>
      <c r="I138" s="16">
        <f t="shared" si="10"/>
        <v>26.74</v>
      </c>
      <c r="J138" s="14" t="str">
        <f t="shared" si="11"/>
        <v>May</v>
      </c>
      <c r="K138" s="14">
        <f t="shared" si="13"/>
        <v>2024</v>
      </c>
      <c r="L138" s="14" t="str">
        <f t="shared" si="14"/>
        <v>Completed</v>
      </c>
      <c r="M138" s="18" t="str">
        <f t="shared" si="12"/>
        <v>Wholesale</v>
      </c>
    </row>
    <row r="139" spans="1:13" ht="15" thickBot="1" x14ac:dyDescent="0.35">
      <c r="A139" s="17">
        <v>50138</v>
      </c>
      <c r="B139" s="14" t="s">
        <v>12</v>
      </c>
      <c r="C139" s="14" t="s">
        <v>13</v>
      </c>
      <c r="D139" s="14">
        <v>20</v>
      </c>
      <c r="E139" s="15">
        <v>45604.604861111111</v>
      </c>
      <c r="F139" s="16">
        <v>2.82</v>
      </c>
      <c r="G139" s="14">
        <v>12597</v>
      </c>
      <c r="H139" s="14" t="s">
        <v>23</v>
      </c>
      <c r="I139" s="16">
        <f t="shared" si="10"/>
        <v>56.4</v>
      </c>
      <c r="J139" s="14" t="str">
        <f t="shared" si="11"/>
        <v>Nov</v>
      </c>
      <c r="K139" s="14">
        <f t="shared" si="13"/>
        <v>2024</v>
      </c>
      <c r="L139" s="14" t="str">
        <f t="shared" si="14"/>
        <v>Completed</v>
      </c>
      <c r="M139" s="18" t="str">
        <f t="shared" si="12"/>
        <v>Wholesale</v>
      </c>
    </row>
    <row r="140" spans="1:13" ht="15" thickBot="1" x14ac:dyDescent="0.35">
      <c r="A140" s="17">
        <v>50139</v>
      </c>
      <c r="B140" s="14">
        <v>22423</v>
      </c>
      <c r="C140" s="14" t="s">
        <v>36</v>
      </c>
      <c r="D140" s="14">
        <v>15</v>
      </c>
      <c r="E140" s="15">
        <v>45528.513888888891</v>
      </c>
      <c r="F140" s="16">
        <v>10.88</v>
      </c>
      <c r="G140" s="14">
        <v>12823</v>
      </c>
      <c r="H140" s="14" t="s">
        <v>28</v>
      </c>
      <c r="I140" s="16">
        <f t="shared" si="10"/>
        <v>163.20000000000002</v>
      </c>
      <c r="J140" s="14" t="str">
        <f t="shared" si="11"/>
        <v>Aug</v>
      </c>
      <c r="K140" s="14">
        <f t="shared" si="13"/>
        <v>2024</v>
      </c>
      <c r="L140" s="14" t="str">
        <f t="shared" si="14"/>
        <v>Completed</v>
      </c>
      <c r="M140" s="18" t="str">
        <f t="shared" si="12"/>
        <v>New</v>
      </c>
    </row>
    <row r="141" spans="1:13" ht="15" thickBot="1" x14ac:dyDescent="0.35">
      <c r="A141" s="17">
        <v>50140</v>
      </c>
      <c r="B141" s="14">
        <v>22960</v>
      </c>
      <c r="C141" s="14" t="s">
        <v>49</v>
      </c>
      <c r="D141" s="14">
        <v>6</v>
      </c>
      <c r="E141" s="15">
        <v>45638.72152777778</v>
      </c>
      <c r="F141" s="16">
        <v>5.0199999999999996</v>
      </c>
      <c r="G141" s="14">
        <v>12601</v>
      </c>
      <c r="H141" s="14" t="s">
        <v>22</v>
      </c>
      <c r="I141" s="16">
        <f t="shared" si="10"/>
        <v>30.119999999999997</v>
      </c>
      <c r="J141" s="14" t="str">
        <f t="shared" si="11"/>
        <v>Dec</v>
      </c>
      <c r="K141" s="14">
        <f t="shared" si="13"/>
        <v>2024</v>
      </c>
      <c r="L141" s="14" t="str">
        <f t="shared" si="14"/>
        <v>Completed</v>
      </c>
      <c r="M141" s="18" t="str">
        <f t="shared" si="12"/>
        <v>New</v>
      </c>
    </row>
    <row r="142" spans="1:13" ht="15" thickBot="1" x14ac:dyDescent="0.35">
      <c r="A142" s="17">
        <v>50141</v>
      </c>
      <c r="B142" s="14" t="s">
        <v>39</v>
      </c>
      <c r="C142" s="14" t="s">
        <v>40</v>
      </c>
      <c r="D142" s="14">
        <v>15</v>
      </c>
      <c r="E142" s="15">
        <v>45645.511111111111</v>
      </c>
      <c r="F142" s="16">
        <v>1.91</v>
      </c>
      <c r="G142" s="14">
        <v>12393</v>
      </c>
      <c r="H142" s="14" t="s">
        <v>28</v>
      </c>
      <c r="I142" s="16">
        <f t="shared" si="10"/>
        <v>28.65</v>
      </c>
      <c r="J142" s="14" t="str">
        <f t="shared" si="11"/>
        <v>Dec</v>
      </c>
      <c r="K142" s="14">
        <f t="shared" si="13"/>
        <v>2024</v>
      </c>
      <c r="L142" s="14" t="str">
        <f t="shared" si="14"/>
        <v>Completed</v>
      </c>
      <c r="M142" s="18" t="str">
        <f t="shared" si="12"/>
        <v>Wholesale</v>
      </c>
    </row>
    <row r="143" spans="1:13" ht="15" thickBot="1" x14ac:dyDescent="0.35">
      <c r="A143" s="17">
        <v>50142</v>
      </c>
      <c r="B143" s="14" t="s">
        <v>8</v>
      </c>
      <c r="C143" s="14" t="s">
        <v>9</v>
      </c>
      <c r="D143" s="14">
        <v>19</v>
      </c>
      <c r="E143" s="15">
        <v>45413.604166666664</v>
      </c>
      <c r="F143" s="16">
        <v>3.23</v>
      </c>
      <c r="G143" s="14">
        <v>12716</v>
      </c>
      <c r="H143" s="14" t="s">
        <v>22</v>
      </c>
      <c r="I143" s="16">
        <f t="shared" si="10"/>
        <v>61.37</v>
      </c>
      <c r="J143" s="14" t="str">
        <f t="shared" si="11"/>
        <v>May</v>
      </c>
      <c r="K143" s="14">
        <f t="shared" si="13"/>
        <v>2024</v>
      </c>
      <c r="L143" s="14" t="str">
        <f t="shared" si="14"/>
        <v>Completed</v>
      </c>
      <c r="M143" s="18" t="str">
        <f t="shared" si="12"/>
        <v>Returning</v>
      </c>
    </row>
    <row r="144" spans="1:13" ht="15" thickBot="1" x14ac:dyDescent="0.35">
      <c r="A144" s="17" t="s">
        <v>57</v>
      </c>
      <c r="B144" s="14" t="s">
        <v>31</v>
      </c>
      <c r="C144" s="14" t="s">
        <v>32</v>
      </c>
      <c r="D144" s="14">
        <v>-1</v>
      </c>
      <c r="E144" s="15">
        <v>45629.614583333336</v>
      </c>
      <c r="F144" s="16">
        <v>2.98</v>
      </c>
      <c r="G144" s="14">
        <v>12763</v>
      </c>
      <c r="H144" s="14" t="s">
        <v>28</v>
      </c>
      <c r="I144" s="16">
        <f t="shared" si="10"/>
        <v>-2.98</v>
      </c>
      <c r="J144" s="14" t="str">
        <f t="shared" si="11"/>
        <v>Dec</v>
      </c>
      <c r="K144" s="14">
        <f t="shared" si="13"/>
        <v>2024</v>
      </c>
      <c r="L144" s="14" t="str">
        <f t="shared" si="14"/>
        <v>Cancelled</v>
      </c>
      <c r="M144" s="18" t="str">
        <f t="shared" si="12"/>
        <v>New</v>
      </c>
    </row>
    <row r="145" spans="1:13" ht="15" thickBot="1" x14ac:dyDescent="0.35">
      <c r="A145" s="17">
        <v>50144</v>
      </c>
      <c r="B145" s="14">
        <v>22960</v>
      </c>
      <c r="C145" s="14" t="s">
        <v>49</v>
      </c>
      <c r="D145" s="14">
        <v>8</v>
      </c>
      <c r="E145" s="15">
        <v>45409.583333333336</v>
      </c>
      <c r="F145" s="16">
        <v>4.54</v>
      </c>
      <c r="G145" s="14">
        <v>12694</v>
      </c>
      <c r="H145" s="14" t="s">
        <v>23</v>
      </c>
      <c r="I145" s="16">
        <f t="shared" si="10"/>
        <v>36.32</v>
      </c>
      <c r="J145" s="14" t="str">
        <f t="shared" si="11"/>
        <v>Apr</v>
      </c>
      <c r="K145" s="14">
        <f t="shared" si="13"/>
        <v>2024</v>
      </c>
      <c r="L145" s="14" t="str">
        <f t="shared" si="14"/>
        <v>Completed</v>
      </c>
      <c r="M145" s="18" t="str">
        <f t="shared" si="12"/>
        <v>Returning</v>
      </c>
    </row>
    <row r="146" spans="1:13" ht="15" thickBot="1" x14ac:dyDescent="0.35">
      <c r="A146" s="17">
        <v>50145</v>
      </c>
      <c r="B146" s="14" t="s">
        <v>8</v>
      </c>
      <c r="C146" s="14" t="s">
        <v>9</v>
      </c>
      <c r="D146" s="14">
        <v>10</v>
      </c>
      <c r="E146" s="15">
        <v>45613.361111111109</v>
      </c>
      <c r="F146" s="16">
        <v>2.92</v>
      </c>
      <c r="G146" s="14">
        <v>12373</v>
      </c>
      <c r="H146" s="14" t="s">
        <v>23</v>
      </c>
      <c r="I146" s="16">
        <f t="shared" si="10"/>
        <v>29.2</v>
      </c>
      <c r="J146" s="14" t="str">
        <f t="shared" si="11"/>
        <v>Nov</v>
      </c>
      <c r="K146" s="14">
        <f t="shared" si="13"/>
        <v>2024</v>
      </c>
      <c r="L146" s="14" t="str">
        <f t="shared" si="14"/>
        <v>Completed</v>
      </c>
      <c r="M146" s="18" t="str">
        <f t="shared" si="12"/>
        <v>New</v>
      </c>
    </row>
    <row r="147" spans="1:13" ht="15" thickBot="1" x14ac:dyDescent="0.35">
      <c r="A147" s="17">
        <v>50146</v>
      </c>
      <c r="B147" s="14" t="s">
        <v>12</v>
      </c>
      <c r="C147" s="14" t="s">
        <v>13</v>
      </c>
      <c r="D147" s="14">
        <v>24</v>
      </c>
      <c r="E147" s="15">
        <v>45443.56527777778</v>
      </c>
      <c r="F147" s="16">
        <v>2.5299999999999998</v>
      </c>
      <c r="G147" s="14">
        <v>12805</v>
      </c>
      <c r="H147" s="14" t="s">
        <v>10</v>
      </c>
      <c r="I147" s="16">
        <f t="shared" si="10"/>
        <v>60.72</v>
      </c>
      <c r="J147" s="14" t="str">
        <f t="shared" si="11"/>
        <v>May</v>
      </c>
      <c r="K147" s="14">
        <f t="shared" si="13"/>
        <v>2024</v>
      </c>
      <c r="L147" s="14" t="str">
        <f t="shared" si="14"/>
        <v>Completed</v>
      </c>
      <c r="M147" s="18" t="str">
        <f t="shared" si="12"/>
        <v>New</v>
      </c>
    </row>
    <row r="148" spans="1:13" ht="15" thickBot="1" x14ac:dyDescent="0.35">
      <c r="A148" s="17">
        <v>50147</v>
      </c>
      <c r="B148" s="14">
        <v>21212</v>
      </c>
      <c r="C148" s="14" t="s">
        <v>21</v>
      </c>
      <c r="D148" s="14">
        <v>9</v>
      </c>
      <c r="E148" s="15">
        <v>45563.689583333333</v>
      </c>
      <c r="F148" s="16">
        <v>0.52</v>
      </c>
      <c r="G148" s="14">
        <v>12844</v>
      </c>
      <c r="H148" s="14" t="s">
        <v>28</v>
      </c>
      <c r="I148" s="16">
        <f t="shared" si="10"/>
        <v>4.68</v>
      </c>
      <c r="J148" s="14" t="str">
        <f t="shared" si="11"/>
        <v>Sep</v>
      </c>
      <c r="K148" s="14">
        <f t="shared" si="13"/>
        <v>2024</v>
      </c>
      <c r="L148" s="14" t="str">
        <f t="shared" si="14"/>
        <v>Completed</v>
      </c>
      <c r="M148" s="18" t="str">
        <f t="shared" si="12"/>
        <v>Returning</v>
      </c>
    </row>
    <row r="149" spans="1:13" ht="15" thickBot="1" x14ac:dyDescent="0.35">
      <c r="A149" s="17">
        <v>50148</v>
      </c>
      <c r="B149" s="14">
        <v>22960</v>
      </c>
      <c r="C149" s="14" t="s">
        <v>49</v>
      </c>
      <c r="D149" s="14">
        <v>15</v>
      </c>
      <c r="E149" s="15">
        <v>45465.414583333331</v>
      </c>
      <c r="F149" s="16">
        <v>3.82</v>
      </c>
      <c r="G149" s="14">
        <v>12989</v>
      </c>
      <c r="H149" s="14" t="s">
        <v>37</v>
      </c>
      <c r="I149" s="16">
        <f t="shared" si="10"/>
        <v>57.3</v>
      </c>
      <c r="J149" s="14" t="str">
        <f t="shared" si="11"/>
        <v>Jun</v>
      </c>
      <c r="K149" s="14">
        <f t="shared" si="13"/>
        <v>2024</v>
      </c>
      <c r="L149" s="14" t="str">
        <f t="shared" si="14"/>
        <v>Completed</v>
      </c>
      <c r="M149" s="18" t="str">
        <f t="shared" si="12"/>
        <v>New</v>
      </c>
    </row>
    <row r="150" spans="1:13" ht="15" thickBot="1" x14ac:dyDescent="0.35">
      <c r="A150" s="17">
        <v>50149</v>
      </c>
      <c r="B150" s="14">
        <v>22386</v>
      </c>
      <c r="C150" s="14" t="s">
        <v>29</v>
      </c>
      <c r="D150" s="14">
        <v>3</v>
      </c>
      <c r="E150" s="15">
        <v>45577.593055555553</v>
      </c>
      <c r="F150" s="16">
        <v>1.67</v>
      </c>
      <c r="G150" s="14">
        <v>12549</v>
      </c>
      <c r="H150" s="14" t="s">
        <v>24</v>
      </c>
      <c r="I150" s="16">
        <f t="shared" si="10"/>
        <v>5.01</v>
      </c>
      <c r="J150" s="14" t="str">
        <f t="shared" si="11"/>
        <v>Oct</v>
      </c>
      <c r="K150" s="14">
        <f t="shared" si="13"/>
        <v>2024</v>
      </c>
      <c r="L150" s="14" t="str">
        <f t="shared" si="14"/>
        <v>Completed</v>
      </c>
      <c r="M150" s="18" t="str">
        <f t="shared" si="12"/>
        <v>Wholesale</v>
      </c>
    </row>
    <row r="151" spans="1:13" ht="15" thickBot="1" x14ac:dyDescent="0.35">
      <c r="A151" s="17">
        <v>50150</v>
      </c>
      <c r="B151" s="14">
        <v>20725</v>
      </c>
      <c r="C151" s="14" t="s">
        <v>19</v>
      </c>
      <c r="D151" s="14">
        <v>19</v>
      </c>
      <c r="E151" s="15">
        <v>45480.519444444442</v>
      </c>
      <c r="F151" s="16">
        <v>1.77</v>
      </c>
      <c r="G151" s="14">
        <v>12380</v>
      </c>
      <c r="H151" s="14" t="s">
        <v>24</v>
      </c>
      <c r="I151" s="16">
        <f t="shared" si="10"/>
        <v>33.630000000000003</v>
      </c>
      <c r="J151" s="14" t="str">
        <f t="shared" si="11"/>
        <v>Jul</v>
      </c>
      <c r="K151" s="14">
        <f t="shared" si="13"/>
        <v>2024</v>
      </c>
      <c r="L151" s="14" t="str">
        <f t="shared" si="14"/>
        <v>Completed</v>
      </c>
      <c r="M151" s="18" t="str">
        <f t="shared" si="12"/>
        <v>Returning</v>
      </c>
    </row>
    <row r="152" spans="1:13" ht="15" thickBot="1" x14ac:dyDescent="0.35">
      <c r="A152" s="17">
        <v>50151</v>
      </c>
      <c r="B152" s="14">
        <v>22423</v>
      </c>
      <c r="C152" s="14" t="s">
        <v>36</v>
      </c>
      <c r="D152" s="14">
        <v>20</v>
      </c>
      <c r="E152" s="15">
        <v>45533.350694444445</v>
      </c>
      <c r="F152" s="16">
        <v>13.34</v>
      </c>
      <c r="G152" s="14">
        <v>12937</v>
      </c>
      <c r="H152" s="14" t="s">
        <v>20</v>
      </c>
      <c r="I152" s="16">
        <f t="shared" si="10"/>
        <v>266.8</v>
      </c>
      <c r="J152" s="14" t="str">
        <f t="shared" si="11"/>
        <v>Aug</v>
      </c>
      <c r="K152" s="14">
        <f t="shared" si="13"/>
        <v>2024</v>
      </c>
      <c r="L152" s="14" t="str">
        <f t="shared" si="14"/>
        <v>Completed</v>
      </c>
      <c r="M152" s="18" t="str">
        <f t="shared" si="12"/>
        <v>New</v>
      </c>
    </row>
    <row r="153" spans="1:13" ht="15" thickBot="1" x14ac:dyDescent="0.35">
      <c r="A153" s="17">
        <v>50152</v>
      </c>
      <c r="B153" s="14">
        <v>22423</v>
      </c>
      <c r="C153" s="14" t="s">
        <v>36</v>
      </c>
      <c r="D153" s="14">
        <v>21</v>
      </c>
      <c r="E153" s="15">
        <v>45623.37777777778</v>
      </c>
      <c r="F153" s="16">
        <v>14.9</v>
      </c>
      <c r="G153" s="14">
        <v>12309</v>
      </c>
      <c r="H153" s="14" t="s">
        <v>26</v>
      </c>
      <c r="I153" s="16">
        <f t="shared" si="10"/>
        <v>312.90000000000003</v>
      </c>
      <c r="J153" s="14" t="str">
        <f t="shared" si="11"/>
        <v>Nov</v>
      </c>
      <c r="K153" s="14">
        <f t="shared" si="13"/>
        <v>2024</v>
      </c>
      <c r="L153" s="14" t="str">
        <f t="shared" si="14"/>
        <v>Completed</v>
      </c>
      <c r="M153" s="18" t="str">
        <f t="shared" si="12"/>
        <v>Wholesale</v>
      </c>
    </row>
    <row r="154" spans="1:13" ht="15" thickBot="1" x14ac:dyDescent="0.35">
      <c r="A154" s="17">
        <v>50153</v>
      </c>
      <c r="B154" s="14" t="s">
        <v>8</v>
      </c>
      <c r="C154" s="14" t="s">
        <v>9</v>
      </c>
      <c r="D154" s="14">
        <v>2</v>
      </c>
      <c r="E154" s="15">
        <v>45363.365277777775</v>
      </c>
      <c r="F154" s="16">
        <v>3.47</v>
      </c>
      <c r="G154" s="14">
        <v>12099</v>
      </c>
      <c r="H154" s="14" t="s">
        <v>37</v>
      </c>
      <c r="I154" s="16">
        <f t="shared" si="10"/>
        <v>6.94</v>
      </c>
      <c r="J154" s="14" t="str">
        <f t="shared" si="11"/>
        <v>Mar</v>
      </c>
      <c r="K154" s="14">
        <f t="shared" si="13"/>
        <v>2024</v>
      </c>
      <c r="L154" s="14" t="str">
        <f t="shared" si="14"/>
        <v>Completed</v>
      </c>
      <c r="M154" s="18" t="str">
        <f t="shared" si="12"/>
        <v>Wholesale</v>
      </c>
    </row>
    <row r="155" spans="1:13" ht="15" thickBot="1" x14ac:dyDescent="0.35">
      <c r="A155" s="17">
        <v>50154</v>
      </c>
      <c r="B155" s="14" t="s">
        <v>15</v>
      </c>
      <c r="C155" s="14" t="s">
        <v>16</v>
      </c>
      <c r="D155" s="14">
        <v>15</v>
      </c>
      <c r="E155" s="15">
        <v>45361.609027777777</v>
      </c>
      <c r="F155" s="16">
        <v>3.49</v>
      </c>
      <c r="G155" s="14">
        <v>12713</v>
      </c>
      <c r="H155" s="14" t="s">
        <v>10</v>
      </c>
      <c r="I155" s="16">
        <f t="shared" si="10"/>
        <v>52.35</v>
      </c>
      <c r="J155" s="14" t="str">
        <f t="shared" si="11"/>
        <v>Mar</v>
      </c>
      <c r="K155" s="14">
        <f t="shared" si="13"/>
        <v>2024</v>
      </c>
      <c r="L155" s="14" t="str">
        <f t="shared" si="14"/>
        <v>Completed</v>
      </c>
      <c r="M155" s="18" t="str">
        <f t="shared" si="12"/>
        <v>New</v>
      </c>
    </row>
    <row r="156" spans="1:13" ht="15" thickBot="1" x14ac:dyDescent="0.35">
      <c r="A156" s="17">
        <v>50155</v>
      </c>
      <c r="B156" s="14" t="s">
        <v>39</v>
      </c>
      <c r="C156" s="14" t="s">
        <v>40</v>
      </c>
      <c r="D156" s="14">
        <v>14</v>
      </c>
      <c r="E156" s="15">
        <v>45592.443055555559</v>
      </c>
      <c r="F156" s="16">
        <v>2.37</v>
      </c>
      <c r="G156" s="14">
        <v>12630</v>
      </c>
      <c r="H156" s="14" t="s">
        <v>26</v>
      </c>
      <c r="I156" s="16">
        <f t="shared" si="10"/>
        <v>33.18</v>
      </c>
      <c r="J156" s="14" t="str">
        <f t="shared" si="11"/>
        <v>Oct</v>
      </c>
      <c r="K156" s="14">
        <f t="shared" si="13"/>
        <v>2024</v>
      </c>
      <c r="L156" s="14" t="str">
        <f t="shared" si="14"/>
        <v>Completed</v>
      </c>
      <c r="M156" s="18" t="str">
        <f t="shared" si="12"/>
        <v>Wholesale</v>
      </c>
    </row>
    <row r="157" spans="1:13" ht="15" thickBot="1" x14ac:dyDescent="0.35">
      <c r="A157" s="17">
        <v>50156</v>
      </c>
      <c r="B157" s="14">
        <v>47566</v>
      </c>
      <c r="C157" s="14" t="s">
        <v>27</v>
      </c>
      <c r="D157" s="14">
        <v>7</v>
      </c>
      <c r="E157" s="15">
        <v>45308.59652777778</v>
      </c>
      <c r="F157" s="16">
        <v>5.85</v>
      </c>
      <c r="G157" s="14">
        <v>12875</v>
      </c>
      <c r="H157" s="14" t="s">
        <v>18</v>
      </c>
      <c r="I157" s="16">
        <f t="shared" si="10"/>
        <v>40.949999999999996</v>
      </c>
      <c r="J157" s="14" t="str">
        <f t="shared" si="11"/>
        <v>Jan</v>
      </c>
      <c r="K157" s="14">
        <f t="shared" si="13"/>
        <v>2024</v>
      </c>
      <c r="L157" s="14" t="str">
        <f t="shared" si="14"/>
        <v>Completed</v>
      </c>
      <c r="M157" s="18" t="str">
        <f t="shared" si="12"/>
        <v>New</v>
      </c>
    </row>
    <row r="158" spans="1:13" ht="15" thickBot="1" x14ac:dyDescent="0.35">
      <c r="A158" s="17">
        <v>50157</v>
      </c>
      <c r="B158" s="14" t="s">
        <v>8</v>
      </c>
      <c r="C158" s="14" t="s">
        <v>9</v>
      </c>
      <c r="D158" s="14">
        <v>18</v>
      </c>
      <c r="E158" s="15">
        <v>45643.594444444447</v>
      </c>
      <c r="F158" s="16">
        <v>3.65</v>
      </c>
      <c r="G158" s="14">
        <v>12062</v>
      </c>
      <c r="H158" s="14" t="s">
        <v>26</v>
      </c>
      <c r="I158" s="16">
        <f t="shared" si="10"/>
        <v>65.7</v>
      </c>
      <c r="J158" s="14" t="str">
        <f t="shared" si="11"/>
        <v>Dec</v>
      </c>
      <c r="K158" s="14">
        <f t="shared" si="13"/>
        <v>2024</v>
      </c>
      <c r="L158" s="14" t="str">
        <f t="shared" si="14"/>
        <v>Completed</v>
      </c>
      <c r="M158" s="18" t="str">
        <f t="shared" si="12"/>
        <v>Returning</v>
      </c>
    </row>
    <row r="159" spans="1:13" ht="15" thickBot="1" x14ac:dyDescent="0.35">
      <c r="A159" s="17">
        <v>50158</v>
      </c>
      <c r="B159" s="14">
        <v>47566</v>
      </c>
      <c r="C159" s="14" t="s">
        <v>27</v>
      </c>
      <c r="D159" s="14">
        <v>15</v>
      </c>
      <c r="E159" s="15">
        <v>45389.420138888891</v>
      </c>
      <c r="F159" s="16">
        <v>4.57</v>
      </c>
      <c r="G159" s="14">
        <v>12654</v>
      </c>
      <c r="H159" s="14" t="s">
        <v>20</v>
      </c>
      <c r="I159" s="16">
        <f t="shared" si="10"/>
        <v>68.550000000000011</v>
      </c>
      <c r="J159" s="14" t="str">
        <f t="shared" si="11"/>
        <v>Apr</v>
      </c>
      <c r="K159" s="14">
        <f t="shared" si="13"/>
        <v>2024</v>
      </c>
      <c r="L159" s="14" t="str">
        <f t="shared" si="14"/>
        <v>Completed</v>
      </c>
      <c r="M159" s="18" t="str">
        <f t="shared" si="12"/>
        <v>Wholesale</v>
      </c>
    </row>
    <row r="160" spans="1:13" ht="15" thickBot="1" x14ac:dyDescent="0.35">
      <c r="A160" s="17">
        <v>50159</v>
      </c>
      <c r="B160" s="14" t="s">
        <v>31</v>
      </c>
      <c r="C160" s="14" t="s">
        <v>32</v>
      </c>
      <c r="D160" s="14">
        <v>8</v>
      </c>
      <c r="E160" s="15">
        <v>45317.570138888892</v>
      </c>
      <c r="F160" s="16">
        <v>2.87</v>
      </c>
      <c r="G160" s="14">
        <v>12210</v>
      </c>
      <c r="H160" s="14" t="s">
        <v>24</v>
      </c>
      <c r="I160" s="16">
        <f t="shared" si="10"/>
        <v>22.96</v>
      </c>
      <c r="J160" s="14" t="str">
        <f t="shared" si="11"/>
        <v>Jan</v>
      </c>
      <c r="K160" s="14">
        <f t="shared" si="13"/>
        <v>2024</v>
      </c>
      <c r="L160" s="14" t="str">
        <f t="shared" si="14"/>
        <v>Completed</v>
      </c>
      <c r="M160" s="18" t="str">
        <f t="shared" si="12"/>
        <v>Wholesale</v>
      </c>
    </row>
    <row r="161" spans="1:13" ht="15" thickBot="1" x14ac:dyDescent="0.35">
      <c r="A161" s="17">
        <v>50160</v>
      </c>
      <c r="B161" s="14" t="s">
        <v>15</v>
      </c>
      <c r="C161" s="14" t="s">
        <v>16</v>
      </c>
      <c r="D161" s="14">
        <v>7</v>
      </c>
      <c r="E161" s="15">
        <v>45398.75</v>
      </c>
      <c r="F161" s="16">
        <v>2.75</v>
      </c>
      <c r="G161" s="14">
        <v>12792</v>
      </c>
      <c r="H161" s="14" t="s">
        <v>23</v>
      </c>
      <c r="I161" s="16">
        <f t="shared" si="10"/>
        <v>19.25</v>
      </c>
      <c r="J161" s="14" t="str">
        <f t="shared" si="11"/>
        <v>Apr</v>
      </c>
      <c r="K161" s="14">
        <f t="shared" si="13"/>
        <v>2024</v>
      </c>
      <c r="L161" s="14" t="str">
        <f t="shared" si="14"/>
        <v>Completed</v>
      </c>
      <c r="M161" s="18" t="str">
        <f t="shared" si="12"/>
        <v>Wholesale</v>
      </c>
    </row>
    <row r="162" spans="1:13" ht="15" thickBot="1" x14ac:dyDescent="0.35">
      <c r="A162" s="17">
        <v>50161</v>
      </c>
      <c r="B162" s="14">
        <v>84991</v>
      </c>
      <c r="C162" s="14" t="s">
        <v>25</v>
      </c>
      <c r="D162" s="14">
        <v>5</v>
      </c>
      <c r="E162" s="15">
        <v>45293.529861111114</v>
      </c>
      <c r="F162" s="16">
        <v>0.56999999999999995</v>
      </c>
      <c r="G162" s="14">
        <v>12817</v>
      </c>
      <c r="H162" s="14" t="s">
        <v>23</v>
      </c>
      <c r="I162" s="16">
        <f t="shared" si="10"/>
        <v>2.8499999999999996</v>
      </c>
      <c r="J162" s="14" t="str">
        <f t="shared" si="11"/>
        <v>Jan</v>
      </c>
      <c r="K162" s="14">
        <f t="shared" si="13"/>
        <v>2024</v>
      </c>
      <c r="L162" s="14" t="str">
        <f t="shared" si="14"/>
        <v>Completed</v>
      </c>
      <c r="M162" s="18" t="str">
        <f t="shared" si="12"/>
        <v>New</v>
      </c>
    </row>
    <row r="163" spans="1:13" ht="15" thickBot="1" x14ac:dyDescent="0.35">
      <c r="A163" s="17" t="s">
        <v>58</v>
      </c>
      <c r="B163" s="14" t="s">
        <v>8</v>
      </c>
      <c r="C163" s="14" t="s">
        <v>9</v>
      </c>
      <c r="D163" s="14">
        <v>-2</v>
      </c>
      <c r="E163" s="15">
        <v>45630.351388888892</v>
      </c>
      <c r="F163" s="16">
        <v>3.58</v>
      </c>
      <c r="G163" s="14">
        <v>12016</v>
      </c>
      <c r="H163" s="14" t="s">
        <v>23</v>
      </c>
      <c r="I163" s="16">
        <f t="shared" si="10"/>
        <v>-7.16</v>
      </c>
      <c r="J163" s="14" t="str">
        <f t="shared" si="11"/>
        <v>Dec</v>
      </c>
      <c r="K163" s="14">
        <f t="shared" si="13"/>
        <v>2024</v>
      </c>
      <c r="L163" s="14" t="str">
        <f t="shared" si="14"/>
        <v>Cancelled</v>
      </c>
      <c r="M163" s="18" t="str">
        <f t="shared" si="12"/>
        <v>Returning</v>
      </c>
    </row>
    <row r="164" spans="1:13" ht="15" thickBot="1" x14ac:dyDescent="0.35">
      <c r="A164" s="17">
        <v>50163</v>
      </c>
      <c r="B164" s="14">
        <v>47566</v>
      </c>
      <c r="C164" s="14" t="s">
        <v>27</v>
      </c>
      <c r="D164" s="14">
        <v>24</v>
      </c>
      <c r="E164" s="15">
        <v>45318.42291666667</v>
      </c>
      <c r="F164" s="16">
        <v>4.4000000000000004</v>
      </c>
      <c r="G164" s="14">
        <v>12065</v>
      </c>
      <c r="H164" s="14" t="s">
        <v>28</v>
      </c>
      <c r="I164" s="16">
        <f t="shared" si="10"/>
        <v>105.60000000000001</v>
      </c>
      <c r="J164" s="14" t="str">
        <f t="shared" si="11"/>
        <v>Jan</v>
      </c>
      <c r="K164" s="14">
        <f t="shared" si="13"/>
        <v>2024</v>
      </c>
      <c r="L164" s="14" t="str">
        <f t="shared" si="14"/>
        <v>Completed</v>
      </c>
      <c r="M164" s="18" t="str">
        <f t="shared" si="12"/>
        <v>New</v>
      </c>
    </row>
    <row r="165" spans="1:13" ht="15" thickBot="1" x14ac:dyDescent="0.35">
      <c r="A165" s="17">
        <v>50164</v>
      </c>
      <c r="B165" s="14">
        <v>20725</v>
      </c>
      <c r="C165" s="14" t="s">
        <v>19</v>
      </c>
      <c r="D165" s="14">
        <v>19</v>
      </c>
      <c r="E165" s="15">
        <v>45477.697916666664</v>
      </c>
      <c r="F165" s="16">
        <v>1.69</v>
      </c>
      <c r="G165" s="14">
        <v>12968</v>
      </c>
      <c r="H165" s="14" t="s">
        <v>20</v>
      </c>
      <c r="I165" s="16">
        <f t="shared" si="10"/>
        <v>32.11</v>
      </c>
      <c r="J165" s="14" t="str">
        <f t="shared" si="11"/>
        <v>Jul</v>
      </c>
      <c r="K165" s="14">
        <f t="shared" si="13"/>
        <v>2024</v>
      </c>
      <c r="L165" s="14" t="str">
        <f t="shared" si="14"/>
        <v>Completed</v>
      </c>
      <c r="M165" s="18" t="str">
        <f t="shared" si="12"/>
        <v>Returning</v>
      </c>
    </row>
    <row r="166" spans="1:13" ht="15" thickBot="1" x14ac:dyDescent="0.35">
      <c r="A166" s="17">
        <v>50165</v>
      </c>
      <c r="B166" s="14">
        <v>71053</v>
      </c>
      <c r="C166" s="14" t="s">
        <v>38</v>
      </c>
      <c r="D166" s="14">
        <v>10</v>
      </c>
      <c r="E166" s="15">
        <v>45629.703472222223</v>
      </c>
      <c r="F166" s="16">
        <v>4.03</v>
      </c>
      <c r="G166" s="14">
        <v>12062</v>
      </c>
      <c r="H166" s="14" t="s">
        <v>28</v>
      </c>
      <c r="I166" s="16">
        <f t="shared" si="10"/>
        <v>40.300000000000004</v>
      </c>
      <c r="J166" s="14" t="str">
        <f t="shared" si="11"/>
        <v>Dec</v>
      </c>
      <c r="K166" s="14">
        <f t="shared" si="13"/>
        <v>2024</v>
      </c>
      <c r="L166" s="14" t="str">
        <f t="shared" si="14"/>
        <v>Completed</v>
      </c>
      <c r="M166" s="18" t="str">
        <f t="shared" si="12"/>
        <v>Returning</v>
      </c>
    </row>
    <row r="167" spans="1:13" ht="15" thickBot="1" x14ac:dyDescent="0.35">
      <c r="A167" s="17">
        <v>50166</v>
      </c>
      <c r="B167" s="14">
        <v>22386</v>
      </c>
      <c r="C167" s="14" t="s">
        <v>29</v>
      </c>
      <c r="D167" s="14">
        <v>16</v>
      </c>
      <c r="E167" s="15">
        <v>45510.409722222219</v>
      </c>
      <c r="F167" s="16">
        <v>1.96</v>
      </c>
      <c r="G167" s="14">
        <v>12920</v>
      </c>
      <c r="H167" s="14" t="s">
        <v>24</v>
      </c>
      <c r="I167" s="16">
        <f t="shared" si="10"/>
        <v>31.36</v>
      </c>
      <c r="J167" s="14" t="str">
        <f t="shared" si="11"/>
        <v>Aug</v>
      </c>
      <c r="K167" s="14">
        <f t="shared" si="13"/>
        <v>2024</v>
      </c>
      <c r="L167" s="14" t="str">
        <f t="shared" si="14"/>
        <v>Completed</v>
      </c>
      <c r="M167" s="18" t="str">
        <f t="shared" si="12"/>
        <v>Returning</v>
      </c>
    </row>
    <row r="168" spans="1:13" ht="15" thickBot="1" x14ac:dyDescent="0.35">
      <c r="A168" s="17">
        <v>50167</v>
      </c>
      <c r="B168" s="14">
        <v>22086</v>
      </c>
      <c r="C168" s="14" t="s">
        <v>41</v>
      </c>
      <c r="D168" s="14">
        <v>3</v>
      </c>
      <c r="E168" s="15">
        <v>45603.438194444447</v>
      </c>
      <c r="F168" s="16">
        <v>3.15</v>
      </c>
      <c r="G168" s="14">
        <v>12599</v>
      </c>
      <c r="H168" s="14" t="s">
        <v>10</v>
      </c>
      <c r="I168" s="16">
        <f t="shared" si="10"/>
        <v>9.4499999999999993</v>
      </c>
      <c r="J168" s="14" t="str">
        <f t="shared" si="11"/>
        <v>Nov</v>
      </c>
      <c r="K168" s="14">
        <f t="shared" si="13"/>
        <v>2024</v>
      </c>
      <c r="L168" s="14" t="str">
        <f t="shared" si="14"/>
        <v>Completed</v>
      </c>
      <c r="M168" s="18" t="str">
        <f t="shared" si="12"/>
        <v>New</v>
      </c>
    </row>
    <row r="169" spans="1:13" ht="15" thickBot="1" x14ac:dyDescent="0.35">
      <c r="A169" s="17">
        <v>50168</v>
      </c>
      <c r="B169" s="14">
        <v>22086</v>
      </c>
      <c r="C169" s="14" t="s">
        <v>41</v>
      </c>
      <c r="D169" s="14">
        <v>10</v>
      </c>
      <c r="E169" s="15">
        <v>45487.710416666669</v>
      </c>
      <c r="F169" s="16">
        <v>3.13</v>
      </c>
      <c r="G169" s="14">
        <v>12101</v>
      </c>
      <c r="H169" s="14" t="s">
        <v>24</v>
      </c>
      <c r="I169" s="16">
        <f t="shared" si="10"/>
        <v>31.299999999999997</v>
      </c>
      <c r="J169" s="14" t="str">
        <f t="shared" si="11"/>
        <v>Jul</v>
      </c>
      <c r="K169" s="14">
        <f t="shared" si="13"/>
        <v>2024</v>
      </c>
      <c r="L169" s="14" t="str">
        <f t="shared" si="14"/>
        <v>Completed</v>
      </c>
      <c r="M169" s="18" t="str">
        <f t="shared" si="12"/>
        <v>New</v>
      </c>
    </row>
    <row r="170" spans="1:13" ht="15" thickBot="1" x14ac:dyDescent="0.35">
      <c r="A170" s="17">
        <v>50169</v>
      </c>
      <c r="B170" s="14" t="s">
        <v>15</v>
      </c>
      <c r="C170" s="14" t="s">
        <v>16</v>
      </c>
      <c r="D170" s="14">
        <v>15</v>
      </c>
      <c r="E170" s="15">
        <v>45402.638888888891</v>
      </c>
      <c r="F170" s="16">
        <v>2.93</v>
      </c>
      <c r="G170" s="14">
        <v>12847</v>
      </c>
      <c r="H170" s="14" t="s">
        <v>28</v>
      </c>
      <c r="I170" s="16">
        <f t="shared" si="10"/>
        <v>43.95</v>
      </c>
      <c r="J170" s="14" t="str">
        <f t="shared" si="11"/>
        <v>Apr</v>
      </c>
      <c r="K170" s="14">
        <f t="shared" si="13"/>
        <v>2024</v>
      </c>
      <c r="L170" s="14" t="str">
        <f t="shared" si="14"/>
        <v>Completed</v>
      </c>
      <c r="M170" s="18" t="str">
        <f t="shared" si="12"/>
        <v>New</v>
      </c>
    </row>
    <row r="171" spans="1:13" ht="15" thickBot="1" x14ac:dyDescent="0.35">
      <c r="A171" s="17">
        <v>50170</v>
      </c>
      <c r="B171" s="14">
        <v>22386</v>
      </c>
      <c r="C171" s="14" t="s">
        <v>29</v>
      </c>
      <c r="D171" s="14">
        <v>11</v>
      </c>
      <c r="E171" s="15">
        <v>45504.400694444441</v>
      </c>
      <c r="F171" s="16">
        <v>2.11</v>
      </c>
      <c r="G171" s="14">
        <v>12383</v>
      </c>
      <c r="H171" s="14" t="s">
        <v>23</v>
      </c>
      <c r="I171" s="16">
        <f t="shared" si="10"/>
        <v>23.209999999999997</v>
      </c>
      <c r="J171" s="14" t="str">
        <f t="shared" si="11"/>
        <v>Jul</v>
      </c>
      <c r="K171" s="14">
        <f t="shared" si="13"/>
        <v>2024</v>
      </c>
      <c r="L171" s="14" t="str">
        <f t="shared" si="14"/>
        <v>Completed</v>
      </c>
      <c r="M171" s="18" t="str">
        <f t="shared" si="12"/>
        <v>New</v>
      </c>
    </row>
    <row r="172" spans="1:13" ht="15" thickBot="1" x14ac:dyDescent="0.35">
      <c r="A172" s="17">
        <v>50171</v>
      </c>
      <c r="B172" s="14">
        <v>23203</v>
      </c>
      <c r="C172" s="14" t="s">
        <v>30</v>
      </c>
      <c r="D172" s="14">
        <v>3</v>
      </c>
      <c r="E172" s="15">
        <v>45326.397916666669</v>
      </c>
      <c r="F172" s="16">
        <v>1.84</v>
      </c>
      <c r="G172" s="14">
        <v>12756</v>
      </c>
      <c r="H172" s="14" t="s">
        <v>18</v>
      </c>
      <c r="I172" s="16">
        <f t="shared" si="10"/>
        <v>5.5200000000000005</v>
      </c>
      <c r="J172" s="14" t="str">
        <f t="shared" si="11"/>
        <v>Feb</v>
      </c>
      <c r="K172" s="14">
        <f t="shared" si="13"/>
        <v>2024</v>
      </c>
      <c r="L172" s="14" t="str">
        <f t="shared" si="14"/>
        <v>Completed</v>
      </c>
      <c r="M172" s="18" t="str">
        <f t="shared" si="12"/>
        <v>Wholesale</v>
      </c>
    </row>
    <row r="173" spans="1:13" ht="15" thickBot="1" x14ac:dyDescent="0.35">
      <c r="A173" s="17">
        <v>50172</v>
      </c>
      <c r="B173" s="14">
        <v>84879</v>
      </c>
      <c r="C173" s="14" t="s">
        <v>45</v>
      </c>
      <c r="D173" s="14">
        <v>19</v>
      </c>
      <c r="E173" s="15">
        <v>45576.375694444447</v>
      </c>
      <c r="F173" s="16">
        <v>1.77</v>
      </c>
      <c r="G173" s="14">
        <v>12686</v>
      </c>
      <c r="H173" s="14" t="s">
        <v>24</v>
      </c>
      <c r="I173" s="16">
        <f t="shared" si="10"/>
        <v>33.630000000000003</v>
      </c>
      <c r="J173" s="14" t="str">
        <f t="shared" si="11"/>
        <v>Oct</v>
      </c>
      <c r="K173" s="14">
        <f t="shared" si="13"/>
        <v>2024</v>
      </c>
      <c r="L173" s="14" t="str">
        <f t="shared" si="14"/>
        <v>Completed</v>
      </c>
      <c r="M173" s="18" t="str">
        <f t="shared" si="12"/>
        <v>Returning</v>
      </c>
    </row>
    <row r="174" spans="1:13" ht="15" thickBot="1" x14ac:dyDescent="0.35">
      <c r="A174" s="17" t="s">
        <v>59</v>
      </c>
      <c r="B174" s="14" t="s">
        <v>39</v>
      </c>
      <c r="C174" s="14" t="s">
        <v>40</v>
      </c>
      <c r="D174" s="14">
        <v>-5</v>
      </c>
      <c r="E174" s="15">
        <v>45473.634027777778</v>
      </c>
      <c r="F174" s="16">
        <v>2.21</v>
      </c>
      <c r="G174" s="14">
        <v>12360</v>
      </c>
      <c r="H174" s="14" t="s">
        <v>24</v>
      </c>
      <c r="I174" s="16">
        <f t="shared" si="10"/>
        <v>-11.05</v>
      </c>
      <c r="J174" s="14" t="str">
        <f t="shared" si="11"/>
        <v>Jun</v>
      </c>
      <c r="K174" s="14">
        <f t="shared" si="13"/>
        <v>2024</v>
      </c>
      <c r="L174" s="14" t="str">
        <f t="shared" si="14"/>
        <v>Cancelled</v>
      </c>
      <c r="M174" s="18" t="str">
        <f t="shared" si="12"/>
        <v>Wholesale</v>
      </c>
    </row>
    <row r="175" spans="1:13" ht="15" thickBot="1" x14ac:dyDescent="0.35">
      <c r="A175" s="17">
        <v>50174</v>
      </c>
      <c r="B175" s="14" t="s">
        <v>43</v>
      </c>
      <c r="C175" s="14" t="s">
        <v>44</v>
      </c>
      <c r="D175" s="14">
        <v>5</v>
      </c>
      <c r="E175" s="15">
        <v>45551.484027777777</v>
      </c>
      <c r="F175" s="16">
        <v>1.1599999999999999</v>
      </c>
      <c r="G175" s="14">
        <v>12110</v>
      </c>
      <c r="H175" s="14" t="s">
        <v>18</v>
      </c>
      <c r="I175" s="16">
        <f t="shared" si="10"/>
        <v>5.8</v>
      </c>
      <c r="J175" s="14" t="str">
        <f t="shared" si="11"/>
        <v>Sep</v>
      </c>
      <c r="K175" s="14">
        <f t="shared" si="13"/>
        <v>2024</v>
      </c>
      <c r="L175" s="14" t="str">
        <f t="shared" si="14"/>
        <v>Completed</v>
      </c>
      <c r="M175" s="18" t="str">
        <f t="shared" si="12"/>
        <v>Returning</v>
      </c>
    </row>
    <row r="176" spans="1:13" ht="15" thickBot="1" x14ac:dyDescent="0.35">
      <c r="A176" s="17">
        <v>50175</v>
      </c>
      <c r="B176" s="14" t="s">
        <v>15</v>
      </c>
      <c r="C176" s="14" t="s">
        <v>16</v>
      </c>
      <c r="D176" s="14">
        <v>9</v>
      </c>
      <c r="E176" s="15">
        <v>45480.414583333331</v>
      </c>
      <c r="F176" s="16">
        <v>3.34</v>
      </c>
      <c r="G176" s="14">
        <v>12865</v>
      </c>
      <c r="H176" s="14" t="s">
        <v>10</v>
      </c>
      <c r="I176" s="16">
        <f t="shared" si="10"/>
        <v>30.06</v>
      </c>
      <c r="J176" s="14" t="str">
        <f t="shared" si="11"/>
        <v>Jul</v>
      </c>
      <c r="K176" s="14">
        <f t="shared" si="13"/>
        <v>2024</v>
      </c>
      <c r="L176" s="14" t="str">
        <f t="shared" si="14"/>
        <v>Completed</v>
      </c>
      <c r="M176" s="18" t="str">
        <f t="shared" si="12"/>
        <v>New</v>
      </c>
    </row>
    <row r="177" spans="1:13" ht="15" thickBot="1" x14ac:dyDescent="0.35">
      <c r="A177" s="17">
        <v>50176</v>
      </c>
      <c r="B177" s="14">
        <v>84991</v>
      </c>
      <c r="C177" s="14" t="s">
        <v>25</v>
      </c>
      <c r="D177" s="14">
        <v>1</v>
      </c>
      <c r="E177" s="15">
        <v>45606.729166666664</v>
      </c>
      <c r="F177" s="16">
        <v>0.59</v>
      </c>
      <c r="G177" s="14">
        <v>12710</v>
      </c>
      <c r="H177" s="14" t="s">
        <v>22</v>
      </c>
      <c r="I177" s="16">
        <f t="shared" si="10"/>
        <v>0.59</v>
      </c>
      <c r="J177" s="14" t="str">
        <f t="shared" si="11"/>
        <v>Nov</v>
      </c>
      <c r="K177" s="14">
        <f t="shared" si="13"/>
        <v>2024</v>
      </c>
      <c r="L177" s="14" t="str">
        <f t="shared" si="14"/>
        <v>Completed</v>
      </c>
      <c r="M177" s="18" t="str">
        <f t="shared" si="12"/>
        <v>Returning</v>
      </c>
    </row>
    <row r="178" spans="1:13" ht="15" thickBot="1" x14ac:dyDescent="0.35">
      <c r="A178" s="17">
        <v>50177</v>
      </c>
      <c r="B178" s="14" t="s">
        <v>31</v>
      </c>
      <c r="C178" s="14" t="s">
        <v>32</v>
      </c>
      <c r="D178" s="14">
        <v>23</v>
      </c>
      <c r="E178" s="15">
        <v>45384.527083333334</v>
      </c>
      <c r="F178" s="16">
        <v>2.99</v>
      </c>
      <c r="G178" s="14">
        <v>12359</v>
      </c>
      <c r="H178" s="14" t="s">
        <v>14</v>
      </c>
      <c r="I178" s="16">
        <f t="shared" si="10"/>
        <v>68.77000000000001</v>
      </c>
      <c r="J178" s="14" t="str">
        <f t="shared" si="11"/>
        <v>Apr</v>
      </c>
      <c r="K178" s="14">
        <f t="shared" si="13"/>
        <v>2024</v>
      </c>
      <c r="L178" s="14" t="str">
        <f t="shared" si="14"/>
        <v>Completed</v>
      </c>
      <c r="M178" s="18" t="str">
        <f t="shared" si="12"/>
        <v>New</v>
      </c>
    </row>
    <row r="179" spans="1:13" ht="15" thickBot="1" x14ac:dyDescent="0.35">
      <c r="A179" s="17">
        <v>50178</v>
      </c>
      <c r="B179" s="14">
        <v>22720</v>
      </c>
      <c r="C179" s="14" t="s">
        <v>17</v>
      </c>
      <c r="D179" s="14">
        <v>22</v>
      </c>
      <c r="E179" s="15">
        <v>45365.73541666667</v>
      </c>
      <c r="F179" s="16">
        <v>4.45</v>
      </c>
      <c r="G179" s="14">
        <v>12648</v>
      </c>
      <c r="H179" s="14" t="s">
        <v>14</v>
      </c>
      <c r="I179" s="16">
        <f t="shared" si="10"/>
        <v>97.9</v>
      </c>
      <c r="J179" s="14" t="str">
        <f t="shared" si="11"/>
        <v>Mar</v>
      </c>
      <c r="K179" s="14">
        <f t="shared" si="13"/>
        <v>2024</v>
      </c>
      <c r="L179" s="14" t="str">
        <f t="shared" si="14"/>
        <v>Completed</v>
      </c>
      <c r="M179" s="18" t="str">
        <f t="shared" si="12"/>
        <v>Wholesale</v>
      </c>
    </row>
    <row r="180" spans="1:13" ht="15" thickBot="1" x14ac:dyDescent="0.35">
      <c r="A180" s="17">
        <v>50179</v>
      </c>
      <c r="B180" s="14" t="s">
        <v>12</v>
      </c>
      <c r="C180" s="14" t="s">
        <v>13</v>
      </c>
      <c r="D180" s="14">
        <v>13</v>
      </c>
      <c r="E180" s="15">
        <v>45563.486111111109</v>
      </c>
      <c r="F180" s="16">
        <v>2.67</v>
      </c>
      <c r="G180" s="14">
        <v>12378</v>
      </c>
      <c r="H180" s="14" t="s">
        <v>22</v>
      </c>
      <c r="I180" s="16">
        <f t="shared" si="10"/>
        <v>34.71</v>
      </c>
      <c r="J180" s="14" t="str">
        <f t="shared" si="11"/>
        <v>Sep</v>
      </c>
      <c r="K180" s="14">
        <f t="shared" si="13"/>
        <v>2024</v>
      </c>
      <c r="L180" s="14" t="str">
        <f t="shared" si="14"/>
        <v>Completed</v>
      </c>
      <c r="M180" s="18" t="str">
        <f t="shared" si="12"/>
        <v>Wholesale</v>
      </c>
    </row>
    <row r="181" spans="1:13" ht="15" thickBot="1" x14ac:dyDescent="0.35">
      <c r="A181" s="17">
        <v>50180</v>
      </c>
      <c r="B181" s="14">
        <v>22086</v>
      </c>
      <c r="C181" s="14" t="s">
        <v>41</v>
      </c>
      <c r="D181" s="14">
        <v>2</v>
      </c>
      <c r="E181" s="15">
        <v>45582.393055555556</v>
      </c>
      <c r="F181" s="16">
        <v>3.29</v>
      </c>
      <c r="G181" s="14">
        <v>12050</v>
      </c>
      <c r="H181" s="14" t="s">
        <v>24</v>
      </c>
      <c r="I181" s="16">
        <f t="shared" si="10"/>
        <v>6.58</v>
      </c>
      <c r="J181" s="14" t="str">
        <f t="shared" si="11"/>
        <v>Oct</v>
      </c>
      <c r="K181" s="14">
        <f t="shared" si="13"/>
        <v>2024</v>
      </c>
      <c r="L181" s="14" t="str">
        <f t="shared" si="14"/>
        <v>Completed</v>
      </c>
      <c r="M181" s="18" t="str">
        <f t="shared" si="12"/>
        <v>Returning</v>
      </c>
    </row>
    <row r="182" spans="1:13" ht="15" thickBot="1" x14ac:dyDescent="0.35">
      <c r="A182" s="17">
        <v>50181</v>
      </c>
      <c r="B182" s="14">
        <v>47566</v>
      </c>
      <c r="C182" s="14" t="s">
        <v>27</v>
      </c>
      <c r="D182" s="14">
        <v>16</v>
      </c>
      <c r="E182" s="15">
        <v>45518.634722222225</v>
      </c>
      <c r="F182" s="16">
        <v>4.93</v>
      </c>
      <c r="G182" s="14">
        <v>12220</v>
      </c>
      <c r="H182" s="14" t="s">
        <v>10</v>
      </c>
      <c r="I182" s="16">
        <f t="shared" si="10"/>
        <v>78.88</v>
      </c>
      <c r="J182" s="14" t="str">
        <f t="shared" si="11"/>
        <v>Aug</v>
      </c>
      <c r="K182" s="14">
        <f t="shared" si="13"/>
        <v>2024</v>
      </c>
      <c r="L182" s="14" t="str">
        <f t="shared" si="14"/>
        <v>Completed</v>
      </c>
      <c r="M182" s="18" t="str">
        <f t="shared" si="12"/>
        <v>Returning</v>
      </c>
    </row>
    <row r="183" spans="1:13" ht="15" thickBot="1" x14ac:dyDescent="0.35">
      <c r="A183" s="17">
        <v>50182</v>
      </c>
      <c r="B183" s="14" t="s">
        <v>8</v>
      </c>
      <c r="C183" s="14" t="s">
        <v>9</v>
      </c>
      <c r="D183" s="14">
        <v>4</v>
      </c>
      <c r="E183" s="15">
        <v>45468.638888888891</v>
      </c>
      <c r="F183" s="16">
        <v>3.69</v>
      </c>
      <c r="G183" s="14">
        <v>12498</v>
      </c>
      <c r="H183" s="14" t="s">
        <v>10</v>
      </c>
      <c r="I183" s="16">
        <f t="shared" si="10"/>
        <v>14.76</v>
      </c>
      <c r="J183" s="14" t="str">
        <f t="shared" si="11"/>
        <v>Jun</v>
      </c>
      <c r="K183" s="14">
        <f t="shared" si="13"/>
        <v>2024</v>
      </c>
      <c r="L183" s="14" t="str">
        <f t="shared" si="14"/>
        <v>Completed</v>
      </c>
      <c r="M183" s="18" t="str">
        <f t="shared" si="12"/>
        <v>Wholesale</v>
      </c>
    </row>
    <row r="184" spans="1:13" ht="15" thickBot="1" x14ac:dyDescent="0.35">
      <c r="A184" s="17">
        <v>50183</v>
      </c>
      <c r="B184" s="14">
        <v>22960</v>
      </c>
      <c r="C184" s="14" t="s">
        <v>49</v>
      </c>
      <c r="D184" s="14">
        <v>13</v>
      </c>
      <c r="E184" s="15">
        <v>45315.489583333336</v>
      </c>
      <c r="F184" s="16">
        <v>3.69</v>
      </c>
      <c r="G184" s="14">
        <v>12209</v>
      </c>
      <c r="H184" s="14" t="s">
        <v>22</v>
      </c>
      <c r="I184" s="16">
        <f t="shared" si="10"/>
        <v>47.97</v>
      </c>
      <c r="J184" s="14" t="str">
        <f t="shared" si="11"/>
        <v>Jan</v>
      </c>
      <c r="K184" s="14">
        <f t="shared" si="13"/>
        <v>2024</v>
      </c>
      <c r="L184" s="14" t="str">
        <f t="shared" si="14"/>
        <v>Completed</v>
      </c>
      <c r="M184" s="18" t="str">
        <f t="shared" si="12"/>
        <v>New</v>
      </c>
    </row>
    <row r="185" spans="1:13" ht="15" thickBot="1" x14ac:dyDescent="0.35">
      <c r="A185" s="17">
        <v>50184</v>
      </c>
      <c r="B185" s="14">
        <v>22727</v>
      </c>
      <c r="C185" s="14" t="s">
        <v>46</v>
      </c>
      <c r="D185" s="14">
        <v>10</v>
      </c>
      <c r="E185" s="15">
        <v>45362.51458333333</v>
      </c>
      <c r="F185" s="16">
        <v>3.2</v>
      </c>
      <c r="G185" s="14">
        <v>12764</v>
      </c>
      <c r="H185" s="14" t="s">
        <v>26</v>
      </c>
      <c r="I185" s="16">
        <f t="shared" si="10"/>
        <v>32</v>
      </c>
      <c r="J185" s="14" t="str">
        <f t="shared" si="11"/>
        <v>Mar</v>
      </c>
      <c r="K185" s="14">
        <f t="shared" si="13"/>
        <v>2024</v>
      </c>
      <c r="L185" s="14" t="str">
        <f t="shared" si="14"/>
        <v>Completed</v>
      </c>
      <c r="M185" s="18" t="str">
        <f t="shared" si="12"/>
        <v>Returning</v>
      </c>
    </row>
    <row r="186" spans="1:13" ht="15" thickBot="1" x14ac:dyDescent="0.35">
      <c r="A186" s="17">
        <v>50185</v>
      </c>
      <c r="B186" s="14">
        <v>22720</v>
      </c>
      <c r="C186" s="14" t="s">
        <v>17</v>
      </c>
      <c r="D186" s="14">
        <v>18</v>
      </c>
      <c r="E186" s="15">
        <v>45358.603472222225</v>
      </c>
      <c r="F186" s="16">
        <v>5.07</v>
      </c>
      <c r="G186" s="14">
        <v>12853</v>
      </c>
      <c r="H186" s="14" t="s">
        <v>18</v>
      </c>
      <c r="I186" s="16">
        <f t="shared" si="10"/>
        <v>91.26</v>
      </c>
      <c r="J186" s="14" t="str">
        <f t="shared" si="11"/>
        <v>Mar</v>
      </c>
      <c r="K186" s="14">
        <f t="shared" si="13"/>
        <v>2024</v>
      </c>
      <c r="L186" s="14" t="str">
        <f t="shared" si="14"/>
        <v>Completed</v>
      </c>
      <c r="M186" s="18" t="str">
        <f t="shared" si="12"/>
        <v>New</v>
      </c>
    </row>
    <row r="187" spans="1:13" ht="15" thickBot="1" x14ac:dyDescent="0.35">
      <c r="A187" s="17" t="s">
        <v>60</v>
      </c>
      <c r="B187" s="14" t="s">
        <v>12</v>
      </c>
      <c r="C187" s="14" t="s">
        <v>13</v>
      </c>
      <c r="D187" s="14">
        <v>-2</v>
      </c>
      <c r="E187" s="15">
        <v>45495.363194444442</v>
      </c>
      <c r="F187" s="16">
        <v>3.17</v>
      </c>
      <c r="G187" s="14">
        <v>12589</v>
      </c>
      <c r="H187" s="14" t="s">
        <v>26</v>
      </c>
      <c r="I187" s="16">
        <f t="shared" si="10"/>
        <v>-6.34</v>
      </c>
      <c r="J187" s="14" t="str">
        <f t="shared" si="11"/>
        <v>Jul</v>
      </c>
      <c r="K187" s="14">
        <f t="shared" si="13"/>
        <v>2024</v>
      </c>
      <c r="L187" s="14" t="str">
        <f t="shared" si="14"/>
        <v>Cancelled</v>
      </c>
      <c r="M187" s="18" t="str">
        <f t="shared" si="12"/>
        <v>New</v>
      </c>
    </row>
    <row r="188" spans="1:13" ht="15" thickBot="1" x14ac:dyDescent="0.35">
      <c r="A188" s="17">
        <v>50187</v>
      </c>
      <c r="B188" s="14" t="s">
        <v>43</v>
      </c>
      <c r="C188" s="14" t="s">
        <v>44</v>
      </c>
      <c r="D188" s="14">
        <v>10</v>
      </c>
      <c r="E188" s="15">
        <v>45499.629861111112</v>
      </c>
      <c r="F188" s="16">
        <v>1.07</v>
      </c>
      <c r="G188" s="14">
        <v>12332</v>
      </c>
      <c r="H188" s="14" t="s">
        <v>23</v>
      </c>
      <c r="I188" s="16">
        <f t="shared" si="10"/>
        <v>10.700000000000001</v>
      </c>
      <c r="J188" s="14" t="str">
        <f t="shared" si="11"/>
        <v>Jul</v>
      </c>
      <c r="K188" s="14">
        <f t="shared" si="13"/>
        <v>2024</v>
      </c>
      <c r="L188" s="14" t="str">
        <f t="shared" si="14"/>
        <v>Completed</v>
      </c>
      <c r="M188" s="18" t="str">
        <f t="shared" si="12"/>
        <v>Returning</v>
      </c>
    </row>
    <row r="189" spans="1:13" ht="15" thickBot="1" x14ac:dyDescent="0.35">
      <c r="A189" s="17">
        <v>50188</v>
      </c>
      <c r="B189" s="14">
        <v>84991</v>
      </c>
      <c r="C189" s="14" t="s">
        <v>25</v>
      </c>
      <c r="D189" s="14">
        <v>3</v>
      </c>
      <c r="E189" s="15">
        <v>45527.590277777781</v>
      </c>
      <c r="F189" s="16">
        <v>0.49</v>
      </c>
      <c r="G189" s="14">
        <v>12446</v>
      </c>
      <c r="H189" s="14" t="s">
        <v>20</v>
      </c>
      <c r="I189" s="16">
        <f t="shared" si="10"/>
        <v>1.47</v>
      </c>
      <c r="J189" s="14" t="str">
        <f t="shared" si="11"/>
        <v>Aug</v>
      </c>
      <c r="K189" s="14">
        <f t="shared" si="13"/>
        <v>2024</v>
      </c>
      <c r="L189" s="14" t="str">
        <f t="shared" si="14"/>
        <v>Completed</v>
      </c>
      <c r="M189" s="18" t="str">
        <f t="shared" si="12"/>
        <v>Returning</v>
      </c>
    </row>
    <row r="190" spans="1:13" ht="15" thickBot="1" x14ac:dyDescent="0.35">
      <c r="A190" s="17">
        <v>50189</v>
      </c>
      <c r="B190" s="14">
        <v>22386</v>
      </c>
      <c r="C190" s="14" t="s">
        <v>29</v>
      </c>
      <c r="D190" s="14">
        <v>13</v>
      </c>
      <c r="E190" s="15">
        <v>45560.388888888891</v>
      </c>
      <c r="F190" s="16">
        <v>2.17</v>
      </c>
      <c r="G190" s="14">
        <v>12226</v>
      </c>
      <c r="H190" s="14" t="s">
        <v>18</v>
      </c>
      <c r="I190" s="16">
        <f t="shared" si="10"/>
        <v>28.21</v>
      </c>
      <c r="J190" s="14" t="str">
        <f t="shared" si="11"/>
        <v>Sep</v>
      </c>
      <c r="K190" s="14">
        <f t="shared" si="13"/>
        <v>2024</v>
      </c>
      <c r="L190" s="14" t="str">
        <f t="shared" si="14"/>
        <v>Completed</v>
      </c>
      <c r="M190" s="18" t="str">
        <f t="shared" si="12"/>
        <v>Returning</v>
      </c>
    </row>
    <row r="191" spans="1:13" ht="15" thickBot="1" x14ac:dyDescent="0.35">
      <c r="A191" s="17">
        <v>50190</v>
      </c>
      <c r="B191" s="14">
        <v>22720</v>
      </c>
      <c r="C191" s="14" t="s">
        <v>17</v>
      </c>
      <c r="D191" s="14">
        <v>21</v>
      </c>
      <c r="E191" s="15">
        <v>45331.695833333331</v>
      </c>
      <c r="F191" s="16">
        <v>5.09</v>
      </c>
      <c r="G191" s="14">
        <v>12927</v>
      </c>
      <c r="H191" s="14" t="s">
        <v>18</v>
      </c>
      <c r="I191" s="16">
        <f t="shared" si="10"/>
        <v>106.89</v>
      </c>
      <c r="J191" s="14" t="str">
        <f t="shared" si="11"/>
        <v>Feb</v>
      </c>
      <c r="K191" s="14">
        <f t="shared" si="13"/>
        <v>2024</v>
      </c>
      <c r="L191" s="14" t="str">
        <f t="shared" si="14"/>
        <v>Completed</v>
      </c>
      <c r="M191" s="18" t="str">
        <f t="shared" si="12"/>
        <v>Wholesale</v>
      </c>
    </row>
    <row r="192" spans="1:13" ht="15" thickBot="1" x14ac:dyDescent="0.35">
      <c r="A192" s="17">
        <v>50191</v>
      </c>
      <c r="B192" s="14">
        <v>21212</v>
      </c>
      <c r="C192" s="14" t="s">
        <v>21</v>
      </c>
      <c r="D192" s="14">
        <v>8</v>
      </c>
      <c r="E192" s="15">
        <v>45622.438194444447</v>
      </c>
      <c r="F192" s="16">
        <v>0.52</v>
      </c>
      <c r="G192" s="14">
        <v>12177</v>
      </c>
      <c r="H192" s="14" t="s">
        <v>20</v>
      </c>
      <c r="I192" s="16">
        <f t="shared" si="10"/>
        <v>4.16</v>
      </c>
      <c r="J192" s="14" t="str">
        <f t="shared" si="11"/>
        <v>Nov</v>
      </c>
      <c r="K192" s="14">
        <f t="shared" si="13"/>
        <v>2024</v>
      </c>
      <c r="L192" s="14" t="str">
        <f t="shared" si="14"/>
        <v>Completed</v>
      </c>
      <c r="M192" s="18" t="str">
        <f t="shared" si="12"/>
        <v>Wholesale</v>
      </c>
    </row>
    <row r="193" spans="1:13" ht="15" thickBot="1" x14ac:dyDescent="0.35">
      <c r="A193" s="17">
        <v>50192</v>
      </c>
      <c r="B193" s="14">
        <v>84879</v>
      </c>
      <c r="C193" s="14" t="s">
        <v>45</v>
      </c>
      <c r="D193" s="14">
        <v>6</v>
      </c>
      <c r="E193" s="15">
        <v>45627.386805555558</v>
      </c>
      <c r="F193" s="16">
        <v>1.81</v>
      </c>
      <c r="G193" s="14">
        <v>12475</v>
      </c>
      <c r="H193" s="14" t="s">
        <v>20</v>
      </c>
      <c r="I193" s="16">
        <f t="shared" si="10"/>
        <v>10.86</v>
      </c>
      <c r="J193" s="14" t="str">
        <f t="shared" si="11"/>
        <v>Dec</v>
      </c>
      <c r="K193" s="14">
        <f t="shared" si="13"/>
        <v>2024</v>
      </c>
      <c r="L193" s="14" t="str">
        <f t="shared" si="14"/>
        <v>Completed</v>
      </c>
      <c r="M193" s="18" t="str">
        <f t="shared" si="12"/>
        <v>New</v>
      </c>
    </row>
    <row r="194" spans="1:13" ht="15" thickBot="1" x14ac:dyDescent="0.35">
      <c r="A194" s="17">
        <v>50193</v>
      </c>
      <c r="B194" s="14" t="s">
        <v>43</v>
      </c>
      <c r="C194" s="14" t="s">
        <v>44</v>
      </c>
      <c r="D194" s="14">
        <v>21</v>
      </c>
      <c r="E194" s="15">
        <v>45521.734722222223</v>
      </c>
      <c r="F194" s="16">
        <v>1.34</v>
      </c>
      <c r="G194" s="14">
        <v>12884</v>
      </c>
      <c r="H194" s="14" t="s">
        <v>18</v>
      </c>
      <c r="I194" s="16">
        <f t="shared" ref="I194:I257" si="15">D194*F194</f>
        <v>28.14</v>
      </c>
      <c r="J194" s="14" t="str">
        <f t="shared" ref="J194:J257" si="16">TEXT(E194,"mmm")</f>
        <v>Aug</v>
      </c>
      <c r="K194" s="14">
        <f t="shared" si="13"/>
        <v>2024</v>
      </c>
      <c r="L194" s="14" t="str">
        <f t="shared" si="14"/>
        <v>Completed</v>
      </c>
      <c r="M194" s="18" t="str">
        <f t="shared" ref="M194:M257" si="17">IF(G194=0,"Unknown",IF(MOD(G194,3)=0,"Wholesale",IF(MOD(G194,2)=0,"Returning","New")))</f>
        <v>Returning</v>
      </c>
    </row>
    <row r="195" spans="1:13" ht="15" thickBot="1" x14ac:dyDescent="0.35">
      <c r="A195" s="17">
        <v>50194</v>
      </c>
      <c r="B195" s="14">
        <v>84879</v>
      </c>
      <c r="C195" s="14" t="s">
        <v>45</v>
      </c>
      <c r="D195" s="14">
        <v>16</v>
      </c>
      <c r="E195" s="15">
        <v>45517.381249999999</v>
      </c>
      <c r="F195" s="16">
        <v>1.62</v>
      </c>
      <c r="G195" s="14">
        <v>12281</v>
      </c>
      <c r="H195" s="14" t="s">
        <v>20</v>
      </c>
      <c r="I195" s="16">
        <f t="shared" si="15"/>
        <v>25.92</v>
      </c>
      <c r="J195" s="14" t="str">
        <f t="shared" si="16"/>
        <v>Aug</v>
      </c>
      <c r="K195" s="14">
        <f t="shared" ref="K195:K258" si="18">YEAR(E195)</f>
        <v>2024</v>
      </c>
      <c r="L195" s="14" t="str">
        <f t="shared" ref="L195:L258" si="19">IF(OR(LEFT(A195,1)="C",D195&lt;0),"Cancelled","Completed")</f>
        <v>Completed</v>
      </c>
      <c r="M195" s="18" t="str">
        <f t="shared" si="17"/>
        <v>New</v>
      </c>
    </row>
    <row r="196" spans="1:13" ht="15" thickBot="1" x14ac:dyDescent="0.35">
      <c r="A196" s="17">
        <v>50195</v>
      </c>
      <c r="B196" s="14">
        <v>71053</v>
      </c>
      <c r="C196" s="14" t="s">
        <v>38</v>
      </c>
      <c r="D196" s="14">
        <v>3</v>
      </c>
      <c r="E196" s="15">
        <v>45472.693749999999</v>
      </c>
      <c r="F196" s="16">
        <v>3.42</v>
      </c>
      <c r="G196" s="14">
        <v>12058</v>
      </c>
      <c r="H196" s="14" t="s">
        <v>18</v>
      </c>
      <c r="I196" s="16">
        <f t="shared" si="15"/>
        <v>10.26</v>
      </c>
      <c r="J196" s="14" t="str">
        <f t="shared" si="16"/>
        <v>Jun</v>
      </c>
      <c r="K196" s="14">
        <f t="shared" si="18"/>
        <v>2024</v>
      </c>
      <c r="L196" s="14" t="str">
        <f t="shared" si="19"/>
        <v>Completed</v>
      </c>
      <c r="M196" s="18" t="str">
        <f t="shared" si="17"/>
        <v>Returning</v>
      </c>
    </row>
    <row r="197" spans="1:13" ht="15" thickBot="1" x14ac:dyDescent="0.35">
      <c r="A197" s="17">
        <v>50196</v>
      </c>
      <c r="B197" s="14">
        <v>22960</v>
      </c>
      <c r="C197" s="14" t="s">
        <v>49</v>
      </c>
      <c r="D197" s="14">
        <v>20</v>
      </c>
      <c r="E197" s="15">
        <v>45331.397222222222</v>
      </c>
      <c r="F197" s="16">
        <v>4.18</v>
      </c>
      <c r="G197" s="14">
        <v>12594</v>
      </c>
      <c r="H197" s="14" t="s">
        <v>10</v>
      </c>
      <c r="I197" s="16">
        <f t="shared" si="15"/>
        <v>83.6</v>
      </c>
      <c r="J197" s="14" t="str">
        <f t="shared" si="16"/>
        <v>Feb</v>
      </c>
      <c r="K197" s="14">
        <f t="shared" si="18"/>
        <v>2024</v>
      </c>
      <c r="L197" s="14" t="str">
        <f t="shared" si="19"/>
        <v>Completed</v>
      </c>
      <c r="M197" s="18" t="str">
        <f t="shared" si="17"/>
        <v>Wholesale</v>
      </c>
    </row>
    <row r="198" spans="1:13" ht="15" thickBot="1" x14ac:dyDescent="0.35">
      <c r="A198" s="17">
        <v>50197</v>
      </c>
      <c r="B198" s="14">
        <v>71053</v>
      </c>
      <c r="C198" s="14" t="s">
        <v>38</v>
      </c>
      <c r="D198" s="14">
        <v>21</v>
      </c>
      <c r="E198" s="15">
        <v>45522.739583333336</v>
      </c>
      <c r="F198" s="16">
        <v>3.6</v>
      </c>
      <c r="G198" s="14">
        <v>12513</v>
      </c>
      <c r="H198" s="14" t="s">
        <v>23</v>
      </c>
      <c r="I198" s="16">
        <f t="shared" si="15"/>
        <v>75.600000000000009</v>
      </c>
      <c r="J198" s="14" t="str">
        <f t="shared" si="16"/>
        <v>Aug</v>
      </c>
      <c r="K198" s="14">
        <f t="shared" si="18"/>
        <v>2024</v>
      </c>
      <c r="L198" s="14" t="str">
        <f t="shared" si="19"/>
        <v>Completed</v>
      </c>
      <c r="M198" s="18" t="str">
        <f t="shared" si="17"/>
        <v>Wholesale</v>
      </c>
    </row>
    <row r="199" spans="1:13" ht="15" thickBot="1" x14ac:dyDescent="0.35">
      <c r="A199" s="17">
        <v>50198</v>
      </c>
      <c r="B199" s="14">
        <v>71053</v>
      </c>
      <c r="C199" s="14" t="s">
        <v>38</v>
      </c>
      <c r="D199" s="14">
        <v>11</v>
      </c>
      <c r="E199" s="15">
        <v>45522.40625</v>
      </c>
      <c r="F199" s="16">
        <v>2.98</v>
      </c>
      <c r="G199" s="14">
        <v>12661</v>
      </c>
      <c r="H199" s="14" t="s">
        <v>23</v>
      </c>
      <c r="I199" s="16">
        <f t="shared" si="15"/>
        <v>32.78</v>
      </c>
      <c r="J199" s="14" t="str">
        <f t="shared" si="16"/>
        <v>Aug</v>
      </c>
      <c r="K199" s="14">
        <f t="shared" si="18"/>
        <v>2024</v>
      </c>
      <c r="L199" s="14" t="str">
        <f t="shared" si="19"/>
        <v>Completed</v>
      </c>
      <c r="M199" s="18" t="str">
        <f t="shared" si="17"/>
        <v>New</v>
      </c>
    </row>
    <row r="200" spans="1:13" ht="15" thickBot="1" x14ac:dyDescent="0.35">
      <c r="A200" s="17">
        <v>50199</v>
      </c>
      <c r="B200" s="14">
        <v>71053</v>
      </c>
      <c r="C200" s="14" t="s">
        <v>38</v>
      </c>
      <c r="D200" s="14">
        <v>15</v>
      </c>
      <c r="E200" s="15">
        <v>45418.644444444442</v>
      </c>
      <c r="F200" s="16">
        <v>3.61</v>
      </c>
      <c r="G200" s="14">
        <v>12372</v>
      </c>
      <c r="H200" s="14" t="s">
        <v>18</v>
      </c>
      <c r="I200" s="16">
        <f t="shared" si="15"/>
        <v>54.15</v>
      </c>
      <c r="J200" s="14" t="str">
        <f t="shared" si="16"/>
        <v>May</v>
      </c>
      <c r="K200" s="14">
        <f t="shared" si="18"/>
        <v>2024</v>
      </c>
      <c r="L200" s="14" t="str">
        <f t="shared" si="19"/>
        <v>Completed</v>
      </c>
      <c r="M200" s="18" t="str">
        <f t="shared" si="17"/>
        <v>Wholesale</v>
      </c>
    </row>
    <row r="201" spans="1:13" ht="15" thickBot="1" x14ac:dyDescent="0.35">
      <c r="A201" s="17">
        <v>50200</v>
      </c>
      <c r="B201" s="14">
        <v>22960</v>
      </c>
      <c r="C201" s="14" t="s">
        <v>49</v>
      </c>
      <c r="D201" s="14">
        <v>11</v>
      </c>
      <c r="E201" s="15">
        <v>45490.623611111114</v>
      </c>
      <c r="F201" s="16">
        <v>3.69</v>
      </c>
      <c r="G201" s="14">
        <v>12646</v>
      </c>
      <c r="H201" s="14" t="s">
        <v>18</v>
      </c>
      <c r="I201" s="16">
        <f t="shared" si="15"/>
        <v>40.589999999999996</v>
      </c>
      <c r="J201" s="14" t="str">
        <f t="shared" si="16"/>
        <v>Jul</v>
      </c>
      <c r="K201" s="14">
        <f t="shared" si="18"/>
        <v>2024</v>
      </c>
      <c r="L201" s="14" t="str">
        <f t="shared" si="19"/>
        <v>Completed</v>
      </c>
      <c r="M201" s="18" t="str">
        <f t="shared" si="17"/>
        <v>Returning</v>
      </c>
    </row>
    <row r="202" spans="1:13" ht="15" thickBot="1" x14ac:dyDescent="0.35">
      <c r="A202" s="17">
        <v>50201</v>
      </c>
      <c r="B202" s="14" t="s">
        <v>12</v>
      </c>
      <c r="C202" s="14" t="s">
        <v>13</v>
      </c>
      <c r="D202" s="14">
        <v>18</v>
      </c>
      <c r="E202" s="15">
        <v>45460.4</v>
      </c>
      <c r="F202" s="16">
        <v>2.61</v>
      </c>
      <c r="G202" s="14">
        <v>12741</v>
      </c>
      <c r="H202" s="14" t="s">
        <v>20</v>
      </c>
      <c r="I202" s="16">
        <f t="shared" si="15"/>
        <v>46.98</v>
      </c>
      <c r="J202" s="14" t="str">
        <f t="shared" si="16"/>
        <v>Jun</v>
      </c>
      <c r="K202" s="14">
        <f t="shared" si="18"/>
        <v>2024</v>
      </c>
      <c r="L202" s="14" t="str">
        <f t="shared" si="19"/>
        <v>Completed</v>
      </c>
      <c r="M202" s="18" t="str">
        <f t="shared" si="17"/>
        <v>Wholesale</v>
      </c>
    </row>
    <row r="203" spans="1:13" ht="15" thickBot="1" x14ac:dyDescent="0.35">
      <c r="A203" s="17">
        <v>50202</v>
      </c>
      <c r="B203" s="14">
        <v>84879</v>
      </c>
      <c r="C203" s="14" t="s">
        <v>45</v>
      </c>
      <c r="D203" s="14">
        <v>19</v>
      </c>
      <c r="E203" s="15">
        <v>45462.390972222223</v>
      </c>
      <c r="F203" s="16">
        <v>1.98</v>
      </c>
      <c r="G203" s="14">
        <v>12317</v>
      </c>
      <c r="H203" s="14" t="s">
        <v>26</v>
      </c>
      <c r="I203" s="16">
        <f t="shared" si="15"/>
        <v>37.619999999999997</v>
      </c>
      <c r="J203" s="14" t="str">
        <f t="shared" si="16"/>
        <v>Jun</v>
      </c>
      <c r="K203" s="14">
        <f t="shared" si="18"/>
        <v>2024</v>
      </c>
      <c r="L203" s="14" t="str">
        <f t="shared" si="19"/>
        <v>Completed</v>
      </c>
      <c r="M203" s="18" t="str">
        <f t="shared" si="17"/>
        <v>New</v>
      </c>
    </row>
    <row r="204" spans="1:13" ht="15" thickBot="1" x14ac:dyDescent="0.35">
      <c r="A204" s="17">
        <v>50203</v>
      </c>
      <c r="B204" s="14">
        <v>84879</v>
      </c>
      <c r="C204" s="14" t="s">
        <v>45</v>
      </c>
      <c r="D204" s="14">
        <v>10</v>
      </c>
      <c r="E204" s="15">
        <v>45596.393055555556</v>
      </c>
      <c r="F204" s="16">
        <v>1.82</v>
      </c>
      <c r="G204" s="14">
        <v>12336</v>
      </c>
      <c r="H204" s="14" t="s">
        <v>23</v>
      </c>
      <c r="I204" s="16">
        <f t="shared" si="15"/>
        <v>18.2</v>
      </c>
      <c r="J204" s="14" t="str">
        <f t="shared" si="16"/>
        <v>Oct</v>
      </c>
      <c r="K204" s="14">
        <f t="shared" si="18"/>
        <v>2024</v>
      </c>
      <c r="L204" s="14" t="str">
        <f t="shared" si="19"/>
        <v>Completed</v>
      </c>
      <c r="M204" s="18" t="str">
        <f t="shared" si="17"/>
        <v>Wholesale</v>
      </c>
    </row>
    <row r="205" spans="1:13" ht="15" thickBot="1" x14ac:dyDescent="0.35">
      <c r="A205" s="17">
        <v>50204</v>
      </c>
      <c r="B205" s="14" t="s">
        <v>33</v>
      </c>
      <c r="C205" s="14" t="s">
        <v>34</v>
      </c>
      <c r="D205" s="14">
        <v>17</v>
      </c>
      <c r="E205" s="15">
        <v>45339.634027777778</v>
      </c>
      <c r="F205" s="16">
        <v>17.579999999999998</v>
      </c>
      <c r="G205" s="14">
        <v>12184</v>
      </c>
      <c r="H205" s="14" t="s">
        <v>37</v>
      </c>
      <c r="I205" s="16">
        <f t="shared" si="15"/>
        <v>298.85999999999996</v>
      </c>
      <c r="J205" s="14" t="str">
        <f t="shared" si="16"/>
        <v>Feb</v>
      </c>
      <c r="K205" s="14">
        <f t="shared" si="18"/>
        <v>2024</v>
      </c>
      <c r="L205" s="14" t="str">
        <f t="shared" si="19"/>
        <v>Completed</v>
      </c>
      <c r="M205" s="18" t="str">
        <f t="shared" si="17"/>
        <v>Returning</v>
      </c>
    </row>
    <row r="206" spans="1:13" ht="15" thickBot="1" x14ac:dyDescent="0.35">
      <c r="A206" s="17">
        <v>50205</v>
      </c>
      <c r="B206" s="14">
        <v>22086</v>
      </c>
      <c r="C206" s="14" t="s">
        <v>41</v>
      </c>
      <c r="D206" s="14">
        <v>8</v>
      </c>
      <c r="E206" s="15">
        <v>45540.469444444447</v>
      </c>
      <c r="F206" s="16">
        <v>2.67</v>
      </c>
      <c r="G206" s="14">
        <v>12302</v>
      </c>
      <c r="H206" s="14" t="s">
        <v>24</v>
      </c>
      <c r="I206" s="16">
        <f t="shared" si="15"/>
        <v>21.36</v>
      </c>
      <c r="J206" s="14" t="str">
        <f t="shared" si="16"/>
        <v>Sep</v>
      </c>
      <c r="K206" s="14">
        <f t="shared" si="18"/>
        <v>2024</v>
      </c>
      <c r="L206" s="14" t="str">
        <f t="shared" si="19"/>
        <v>Completed</v>
      </c>
      <c r="M206" s="18" t="str">
        <f t="shared" si="17"/>
        <v>Returning</v>
      </c>
    </row>
    <row r="207" spans="1:13" ht="15" thickBot="1" x14ac:dyDescent="0.35">
      <c r="A207" s="17">
        <v>50206</v>
      </c>
      <c r="B207" s="14" t="s">
        <v>33</v>
      </c>
      <c r="C207" s="14" t="s">
        <v>34</v>
      </c>
      <c r="D207" s="14">
        <v>2</v>
      </c>
      <c r="E207" s="15">
        <v>45568.707638888889</v>
      </c>
      <c r="F207" s="16">
        <v>20.82</v>
      </c>
      <c r="G207" s="14">
        <v>12632</v>
      </c>
      <c r="H207" s="14" t="s">
        <v>23</v>
      </c>
      <c r="I207" s="16">
        <f t="shared" si="15"/>
        <v>41.64</v>
      </c>
      <c r="J207" s="14" t="str">
        <f t="shared" si="16"/>
        <v>Oct</v>
      </c>
      <c r="K207" s="14">
        <f t="shared" si="18"/>
        <v>2024</v>
      </c>
      <c r="L207" s="14" t="str">
        <f t="shared" si="19"/>
        <v>Completed</v>
      </c>
      <c r="M207" s="18" t="str">
        <f t="shared" si="17"/>
        <v>Returning</v>
      </c>
    </row>
    <row r="208" spans="1:13" ht="15" thickBot="1" x14ac:dyDescent="0.35">
      <c r="A208" s="17">
        <v>50207</v>
      </c>
      <c r="B208" s="14">
        <v>84991</v>
      </c>
      <c r="C208" s="14" t="s">
        <v>25</v>
      </c>
      <c r="D208" s="14">
        <v>6</v>
      </c>
      <c r="E208" s="15">
        <v>45484.442361111112</v>
      </c>
      <c r="F208" s="16">
        <v>0.6</v>
      </c>
      <c r="G208" s="14">
        <v>12639</v>
      </c>
      <c r="H208" s="14" t="s">
        <v>23</v>
      </c>
      <c r="I208" s="16">
        <f t="shared" si="15"/>
        <v>3.5999999999999996</v>
      </c>
      <c r="J208" s="14" t="str">
        <f t="shared" si="16"/>
        <v>Jul</v>
      </c>
      <c r="K208" s="14">
        <f t="shared" si="18"/>
        <v>2024</v>
      </c>
      <c r="L208" s="14" t="str">
        <f t="shared" si="19"/>
        <v>Completed</v>
      </c>
      <c r="M208" s="18" t="str">
        <f t="shared" si="17"/>
        <v>Wholesale</v>
      </c>
    </row>
    <row r="209" spans="1:13" ht="15" thickBot="1" x14ac:dyDescent="0.35">
      <c r="A209" s="17">
        <v>50208</v>
      </c>
      <c r="B209" s="14">
        <v>20725</v>
      </c>
      <c r="C209" s="14" t="s">
        <v>19</v>
      </c>
      <c r="D209" s="14">
        <v>12</v>
      </c>
      <c r="E209" s="15">
        <v>45314.625</v>
      </c>
      <c r="F209" s="16">
        <v>1.54</v>
      </c>
      <c r="G209" s="14">
        <v>12454</v>
      </c>
      <c r="H209" s="14" t="s">
        <v>20</v>
      </c>
      <c r="I209" s="16">
        <f t="shared" si="15"/>
        <v>18.48</v>
      </c>
      <c r="J209" s="14" t="str">
        <f t="shared" si="16"/>
        <v>Jan</v>
      </c>
      <c r="K209" s="14">
        <f t="shared" si="18"/>
        <v>2024</v>
      </c>
      <c r="L209" s="14" t="str">
        <f t="shared" si="19"/>
        <v>Completed</v>
      </c>
      <c r="M209" s="18" t="str">
        <f t="shared" si="17"/>
        <v>Returning</v>
      </c>
    </row>
    <row r="210" spans="1:13" ht="15" thickBot="1" x14ac:dyDescent="0.35">
      <c r="A210" s="17">
        <v>50209</v>
      </c>
      <c r="B210" s="14">
        <v>22960</v>
      </c>
      <c r="C210" s="14" t="s">
        <v>49</v>
      </c>
      <c r="D210" s="14">
        <v>18</v>
      </c>
      <c r="E210" s="15">
        <v>45521.499305555553</v>
      </c>
      <c r="F210" s="16">
        <v>5.05</v>
      </c>
      <c r="G210" s="14">
        <v>12803</v>
      </c>
      <c r="H210" s="14" t="s">
        <v>28</v>
      </c>
      <c r="I210" s="16">
        <f t="shared" si="15"/>
        <v>90.899999999999991</v>
      </c>
      <c r="J210" s="14" t="str">
        <f t="shared" si="16"/>
        <v>Aug</v>
      </c>
      <c r="K210" s="14">
        <f t="shared" si="18"/>
        <v>2024</v>
      </c>
      <c r="L210" s="14" t="str">
        <f t="shared" si="19"/>
        <v>Completed</v>
      </c>
      <c r="M210" s="18" t="str">
        <f t="shared" si="17"/>
        <v>New</v>
      </c>
    </row>
    <row r="211" spans="1:13" ht="15" thickBot="1" x14ac:dyDescent="0.35">
      <c r="A211" s="17">
        <v>50210</v>
      </c>
      <c r="B211" s="14">
        <v>22727</v>
      </c>
      <c r="C211" s="14" t="s">
        <v>46</v>
      </c>
      <c r="D211" s="14">
        <v>15</v>
      </c>
      <c r="E211" s="15">
        <v>45480.738888888889</v>
      </c>
      <c r="F211" s="16">
        <v>3.56</v>
      </c>
      <c r="G211" s="14">
        <v>12391</v>
      </c>
      <c r="H211" s="14" t="s">
        <v>10</v>
      </c>
      <c r="I211" s="16">
        <f t="shared" si="15"/>
        <v>53.4</v>
      </c>
      <c r="J211" s="14" t="str">
        <f t="shared" si="16"/>
        <v>Jul</v>
      </c>
      <c r="K211" s="14">
        <f t="shared" si="18"/>
        <v>2024</v>
      </c>
      <c r="L211" s="14" t="str">
        <f t="shared" si="19"/>
        <v>Completed</v>
      </c>
      <c r="M211" s="18" t="str">
        <f t="shared" si="17"/>
        <v>New</v>
      </c>
    </row>
    <row r="212" spans="1:13" ht="15" thickBot="1" x14ac:dyDescent="0.35">
      <c r="A212" s="17">
        <v>50211</v>
      </c>
      <c r="B212" s="14" t="s">
        <v>33</v>
      </c>
      <c r="C212" s="14" t="s">
        <v>34</v>
      </c>
      <c r="D212" s="14">
        <v>7</v>
      </c>
      <c r="E212" s="15">
        <v>45506.447916666664</v>
      </c>
      <c r="F212" s="16">
        <v>16.170000000000002</v>
      </c>
      <c r="G212" s="14">
        <v>12256</v>
      </c>
      <c r="H212" s="14" t="s">
        <v>14</v>
      </c>
      <c r="I212" s="16">
        <f t="shared" si="15"/>
        <v>113.19000000000001</v>
      </c>
      <c r="J212" s="14" t="str">
        <f t="shared" si="16"/>
        <v>Aug</v>
      </c>
      <c r="K212" s="14">
        <f t="shared" si="18"/>
        <v>2024</v>
      </c>
      <c r="L212" s="14" t="str">
        <f t="shared" si="19"/>
        <v>Completed</v>
      </c>
      <c r="M212" s="18" t="str">
        <f t="shared" si="17"/>
        <v>Returning</v>
      </c>
    </row>
    <row r="213" spans="1:13" ht="15" thickBot="1" x14ac:dyDescent="0.35">
      <c r="A213" s="17">
        <v>50212</v>
      </c>
      <c r="B213" s="14">
        <v>23203</v>
      </c>
      <c r="C213" s="14" t="s">
        <v>30</v>
      </c>
      <c r="D213" s="14">
        <v>4</v>
      </c>
      <c r="E213" s="15">
        <v>45482.727083333331</v>
      </c>
      <c r="F213" s="16">
        <v>2.14</v>
      </c>
      <c r="G213" s="14">
        <v>12127</v>
      </c>
      <c r="H213" s="14" t="s">
        <v>22</v>
      </c>
      <c r="I213" s="16">
        <f t="shared" si="15"/>
        <v>8.56</v>
      </c>
      <c r="J213" s="14" t="str">
        <f t="shared" si="16"/>
        <v>Jul</v>
      </c>
      <c r="K213" s="14">
        <f t="shared" si="18"/>
        <v>2024</v>
      </c>
      <c r="L213" s="14" t="str">
        <f t="shared" si="19"/>
        <v>Completed</v>
      </c>
      <c r="M213" s="18" t="str">
        <f t="shared" si="17"/>
        <v>New</v>
      </c>
    </row>
    <row r="214" spans="1:13" ht="15" thickBot="1" x14ac:dyDescent="0.35">
      <c r="A214" s="17">
        <v>50213</v>
      </c>
      <c r="B214" s="14" t="s">
        <v>12</v>
      </c>
      <c r="C214" s="14" t="s">
        <v>13</v>
      </c>
      <c r="D214" s="14">
        <v>15</v>
      </c>
      <c r="E214" s="15">
        <v>45374.527083333334</v>
      </c>
      <c r="F214" s="16">
        <v>2.48</v>
      </c>
      <c r="G214" s="14">
        <v>12447</v>
      </c>
      <c r="H214" s="14" t="s">
        <v>24</v>
      </c>
      <c r="I214" s="16">
        <f t="shared" si="15"/>
        <v>37.200000000000003</v>
      </c>
      <c r="J214" s="14" t="str">
        <f t="shared" si="16"/>
        <v>Mar</v>
      </c>
      <c r="K214" s="14">
        <f t="shared" si="18"/>
        <v>2024</v>
      </c>
      <c r="L214" s="14" t="str">
        <f t="shared" si="19"/>
        <v>Completed</v>
      </c>
      <c r="M214" s="18" t="str">
        <f t="shared" si="17"/>
        <v>Wholesale</v>
      </c>
    </row>
    <row r="215" spans="1:13" ht="15" thickBot="1" x14ac:dyDescent="0.35">
      <c r="A215" s="17">
        <v>50214</v>
      </c>
      <c r="B215" s="14">
        <v>22423</v>
      </c>
      <c r="C215" s="14" t="s">
        <v>36</v>
      </c>
      <c r="D215" s="14">
        <v>1</v>
      </c>
      <c r="E215" s="15">
        <v>45522.581250000003</v>
      </c>
      <c r="F215" s="16">
        <v>12.61</v>
      </c>
      <c r="G215" s="14">
        <v>12382</v>
      </c>
      <c r="H215" s="14" t="s">
        <v>37</v>
      </c>
      <c r="I215" s="16">
        <f t="shared" si="15"/>
        <v>12.61</v>
      </c>
      <c r="J215" s="14" t="str">
        <f t="shared" si="16"/>
        <v>Aug</v>
      </c>
      <c r="K215" s="14">
        <f t="shared" si="18"/>
        <v>2024</v>
      </c>
      <c r="L215" s="14" t="str">
        <f t="shared" si="19"/>
        <v>Completed</v>
      </c>
      <c r="M215" s="18" t="str">
        <f t="shared" si="17"/>
        <v>Returning</v>
      </c>
    </row>
    <row r="216" spans="1:13" ht="15" thickBot="1" x14ac:dyDescent="0.35">
      <c r="A216" s="17" t="s">
        <v>61</v>
      </c>
      <c r="B216" s="14">
        <v>22386</v>
      </c>
      <c r="C216" s="14" t="s">
        <v>29</v>
      </c>
      <c r="D216" s="14">
        <v>-2</v>
      </c>
      <c r="E216" s="15">
        <v>45333.599305555559</v>
      </c>
      <c r="F216" s="16">
        <v>2.23</v>
      </c>
      <c r="G216" s="14">
        <v>12665</v>
      </c>
      <c r="H216" s="14" t="s">
        <v>18</v>
      </c>
      <c r="I216" s="16">
        <f t="shared" si="15"/>
        <v>-4.46</v>
      </c>
      <c r="J216" s="14" t="str">
        <f t="shared" si="16"/>
        <v>Feb</v>
      </c>
      <c r="K216" s="14">
        <f t="shared" si="18"/>
        <v>2024</v>
      </c>
      <c r="L216" s="14" t="str">
        <f t="shared" si="19"/>
        <v>Cancelled</v>
      </c>
      <c r="M216" s="18" t="str">
        <f t="shared" si="17"/>
        <v>New</v>
      </c>
    </row>
    <row r="217" spans="1:13" ht="15" thickBot="1" x14ac:dyDescent="0.35">
      <c r="A217" s="17">
        <v>50216</v>
      </c>
      <c r="B217" s="14">
        <v>84879</v>
      </c>
      <c r="C217" s="14" t="s">
        <v>45</v>
      </c>
      <c r="D217" s="14">
        <v>10</v>
      </c>
      <c r="E217" s="15">
        <v>45362.36041666667</v>
      </c>
      <c r="F217" s="16">
        <v>1.72</v>
      </c>
      <c r="G217" s="14">
        <v>12851</v>
      </c>
      <c r="H217" s="14" t="s">
        <v>23</v>
      </c>
      <c r="I217" s="16">
        <f t="shared" si="15"/>
        <v>17.2</v>
      </c>
      <c r="J217" s="14" t="str">
        <f t="shared" si="16"/>
        <v>Mar</v>
      </c>
      <c r="K217" s="14">
        <f t="shared" si="18"/>
        <v>2024</v>
      </c>
      <c r="L217" s="14" t="str">
        <f t="shared" si="19"/>
        <v>Completed</v>
      </c>
      <c r="M217" s="18" t="str">
        <f t="shared" si="17"/>
        <v>New</v>
      </c>
    </row>
    <row r="218" spans="1:13" ht="15" thickBot="1" x14ac:dyDescent="0.35">
      <c r="A218" s="17" t="s">
        <v>62</v>
      </c>
      <c r="B218" s="14">
        <v>23203</v>
      </c>
      <c r="C218" s="14" t="s">
        <v>30</v>
      </c>
      <c r="D218" s="14">
        <v>-1</v>
      </c>
      <c r="E218" s="15">
        <v>45521.336805555555</v>
      </c>
      <c r="F218" s="16">
        <v>2.38</v>
      </c>
      <c r="G218" s="14">
        <v>12561</v>
      </c>
      <c r="H218" s="14" t="s">
        <v>20</v>
      </c>
      <c r="I218" s="16">
        <f t="shared" si="15"/>
        <v>-2.38</v>
      </c>
      <c r="J218" s="14" t="str">
        <f t="shared" si="16"/>
        <v>Aug</v>
      </c>
      <c r="K218" s="14">
        <f t="shared" si="18"/>
        <v>2024</v>
      </c>
      <c r="L218" s="14" t="str">
        <f t="shared" si="19"/>
        <v>Cancelled</v>
      </c>
      <c r="M218" s="18" t="str">
        <f t="shared" si="17"/>
        <v>Wholesale</v>
      </c>
    </row>
    <row r="219" spans="1:13" ht="15" thickBot="1" x14ac:dyDescent="0.35">
      <c r="A219" s="17">
        <v>50218</v>
      </c>
      <c r="B219" s="14" t="s">
        <v>33</v>
      </c>
      <c r="C219" s="14" t="s">
        <v>34</v>
      </c>
      <c r="D219" s="14">
        <v>10</v>
      </c>
      <c r="E219" s="15">
        <v>45508.411805555559</v>
      </c>
      <c r="F219" s="16">
        <v>16.07</v>
      </c>
      <c r="G219" s="14">
        <v>12244</v>
      </c>
      <c r="H219" s="14" t="s">
        <v>26</v>
      </c>
      <c r="I219" s="16">
        <f t="shared" si="15"/>
        <v>160.69999999999999</v>
      </c>
      <c r="J219" s="14" t="str">
        <f t="shared" si="16"/>
        <v>Aug</v>
      </c>
      <c r="K219" s="14">
        <f t="shared" si="18"/>
        <v>2024</v>
      </c>
      <c r="L219" s="14" t="str">
        <f t="shared" si="19"/>
        <v>Completed</v>
      </c>
      <c r="M219" s="18" t="str">
        <f t="shared" si="17"/>
        <v>Returning</v>
      </c>
    </row>
    <row r="220" spans="1:13" ht="15" thickBot="1" x14ac:dyDescent="0.35">
      <c r="A220" s="17">
        <v>50219</v>
      </c>
      <c r="B220" s="14">
        <v>84991</v>
      </c>
      <c r="C220" s="14" t="s">
        <v>25</v>
      </c>
      <c r="D220" s="14">
        <v>4</v>
      </c>
      <c r="E220" s="15">
        <v>45526.37777777778</v>
      </c>
      <c r="F220" s="16">
        <v>0.56000000000000005</v>
      </c>
      <c r="G220" s="14">
        <v>12548</v>
      </c>
      <c r="H220" s="14" t="s">
        <v>14</v>
      </c>
      <c r="I220" s="16">
        <f t="shared" si="15"/>
        <v>2.2400000000000002</v>
      </c>
      <c r="J220" s="14" t="str">
        <f t="shared" si="16"/>
        <v>Aug</v>
      </c>
      <c r="K220" s="14">
        <f t="shared" si="18"/>
        <v>2024</v>
      </c>
      <c r="L220" s="14" t="str">
        <f t="shared" si="19"/>
        <v>Completed</v>
      </c>
      <c r="M220" s="18" t="str">
        <f t="shared" si="17"/>
        <v>Returning</v>
      </c>
    </row>
    <row r="221" spans="1:13" ht="15" thickBot="1" x14ac:dyDescent="0.35">
      <c r="A221" s="17">
        <v>50220</v>
      </c>
      <c r="B221" s="14" t="s">
        <v>33</v>
      </c>
      <c r="C221" s="14" t="s">
        <v>34</v>
      </c>
      <c r="D221" s="14">
        <v>23</v>
      </c>
      <c r="E221" s="15">
        <v>45586.504861111112</v>
      </c>
      <c r="F221" s="16">
        <v>18</v>
      </c>
      <c r="G221" s="14">
        <v>12629</v>
      </c>
      <c r="H221" s="14" t="s">
        <v>18</v>
      </c>
      <c r="I221" s="16">
        <f t="shared" si="15"/>
        <v>414</v>
      </c>
      <c r="J221" s="14" t="str">
        <f t="shared" si="16"/>
        <v>Oct</v>
      </c>
      <c r="K221" s="14">
        <f t="shared" si="18"/>
        <v>2024</v>
      </c>
      <c r="L221" s="14" t="str">
        <f t="shared" si="19"/>
        <v>Completed</v>
      </c>
      <c r="M221" s="18" t="str">
        <f t="shared" si="17"/>
        <v>New</v>
      </c>
    </row>
    <row r="222" spans="1:13" ht="15" thickBot="1" x14ac:dyDescent="0.35">
      <c r="A222" s="17">
        <v>50221</v>
      </c>
      <c r="B222" s="14">
        <v>22423</v>
      </c>
      <c r="C222" s="14" t="s">
        <v>36</v>
      </c>
      <c r="D222" s="14">
        <v>6</v>
      </c>
      <c r="E222" s="15">
        <v>45584.629166666666</v>
      </c>
      <c r="F222" s="16">
        <v>11.22</v>
      </c>
      <c r="G222" s="14">
        <v>12998</v>
      </c>
      <c r="H222" s="14" t="s">
        <v>18</v>
      </c>
      <c r="I222" s="16">
        <f t="shared" si="15"/>
        <v>67.320000000000007</v>
      </c>
      <c r="J222" s="14" t="str">
        <f t="shared" si="16"/>
        <v>Oct</v>
      </c>
      <c r="K222" s="14">
        <f t="shared" si="18"/>
        <v>2024</v>
      </c>
      <c r="L222" s="14" t="str">
        <f t="shared" si="19"/>
        <v>Completed</v>
      </c>
      <c r="M222" s="18" t="str">
        <f t="shared" si="17"/>
        <v>Returning</v>
      </c>
    </row>
    <row r="223" spans="1:13" ht="15" thickBot="1" x14ac:dyDescent="0.35">
      <c r="A223" s="17">
        <v>50222</v>
      </c>
      <c r="B223" s="14" t="s">
        <v>12</v>
      </c>
      <c r="C223" s="14" t="s">
        <v>13</v>
      </c>
      <c r="D223" s="14">
        <v>17</v>
      </c>
      <c r="E223" s="15">
        <v>45561.720138888886</v>
      </c>
      <c r="F223" s="16">
        <v>2.83</v>
      </c>
      <c r="G223" s="14">
        <v>12020</v>
      </c>
      <c r="H223" s="14" t="s">
        <v>26</v>
      </c>
      <c r="I223" s="16">
        <f t="shared" si="15"/>
        <v>48.11</v>
      </c>
      <c r="J223" s="14" t="str">
        <f t="shared" si="16"/>
        <v>Sep</v>
      </c>
      <c r="K223" s="14">
        <f t="shared" si="18"/>
        <v>2024</v>
      </c>
      <c r="L223" s="14" t="str">
        <f t="shared" si="19"/>
        <v>Completed</v>
      </c>
      <c r="M223" s="18" t="str">
        <f t="shared" si="17"/>
        <v>Returning</v>
      </c>
    </row>
    <row r="224" spans="1:13" ht="15" thickBot="1" x14ac:dyDescent="0.35">
      <c r="A224" s="17">
        <v>50223</v>
      </c>
      <c r="B224" s="14">
        <v>23203</v>
      </c>
      <c r="C224" s="14" t="s">
        <v>30</v>
      </c>
      <c r="D224" s="14">
        <v>12</v>
      </c>
      <c r="E224" s="15">
        <v>45314.60833333333</v>
      </c>
      <c r="F224" s="16">
        <v>1.78</v>
      </c>
      <c r="G224" s="14">
        <v>12807</v>
      </c>
      <c r="H224" s="14" t="s">
        <v>24</v>
      </c>
      <c r="I224" s="16">
        <f t="shared" si="15"/>
        <v>21.36</v>
      </c>
      <c r="J224" s="14" t="str">
        <f t="shared" si="16"/>
        <v>Jan</v>
      </c>
      <c r="K224" s="14">
        <f t="shared" si="18"/>
        <v>2024</v>
      </c>
      <c r="L224" s="14" t="str">
        <f t="shared" si="19"/>
        <v>Completed</v>
      </c>
      <c r="M224" s="18" t="str">
        <f t="shared" si="17"/>
        <v>Wholesale</v>
      </c>
    </row>
    <row r="225" spans="1:13" ht="15" thickBot="1" x14ac:dyDescent="0.35">
      <c r="A225" s="17">
        <v>50224</v>
      </c>
      <c r="B225" s="14">
        <v>21212</v>
      </c>
      <c r="C225" s="14" t="s">
        <v>21</v>
      </c>
      <c r="D225" s="14">
        <v>19</v>
      </c>
      <c r="E225" s="15">
        <v>45415.406944444447</v>
      </c>
      <c r="F225" s="16">
        <v>0.53</v>
      </c>
      <c r="G225" s="14">
        <v>12045</v>
      </c>
      <c r="H225" s="14" t="s">
        <v>18</v>
      </c>
      <c r="I225" s="16">
        <f t="shared" si="15"/>
        <v>10.07</v>
      </c>
      <c r="J225" s="14" t="str">
        <f t="shared" si="16"/>
        <v>May</v>
      </c>
      <c r="K225" s="14">
        <f t="shared" si="18"/>
        <v>2024</v>
      </c>
      <c r="L225" s="14" t="str">
        <f t="shared" si="19"/>
        <v>Completed</v>
      </c>
      <c r="M225" s="18" t="str">
        <f t="shared" si="17"/>
        <v>Wholesale</v>
      </c>
    </row>
    <row r="226" spans="1:13" ht="15" thickBot="1" x14ac:dyDescent="0.35">
      <c r="A226" s="17">
        <v>50225</v>
      </c>
      <c r="B226" s="14" t="s">
        <v>15</v>
      </c>
      <c r="C226" s="14" t="s">
        <v>16</v>
      </c>
      <c r="D226" s="14">
        <v>22</v>
      </c>
      <c r="E226" s="15">
        <v>45465.457638888889</v>
      </c>
      <c r="F226" s="16">
        <v>3.23</v>
      </c>
      <c r="G226" s="14">
        <v>12646</v>
      </c>
      <c r="H226" s="14" t="s">
        <v>23</v>
      </c>
      <c r="I226" s="16">
        <f t="shared" si="15"/>
        <v>71.06</v>
      </c>
      <c r="J226" s="14" t="str">
        <f t="shared" si="16"/>
        <v>Jun</v>
      </c>
      <c r="K226" s="14">
        <f t="shared" si="18"/>
        <v>2024</v>
      </c>
      <c r="L226" s="14" t="str">
        <f t="shared" si="19"/>
        <v>Completed</v>
      </c>
      <c r="M226" s="18" t="str">
        <f t="shared" si="17"/>
        <v>Returning</v>
      </c>
    </row>
    <row r="227" spans="1:13" ht="15" thickBot="1" x14ac:dyDescent="0.35">
      <c r="A227" s="17">
        <v>50226</v>
      </c>
      <c r="B227" s="14">
        <v>84879</v>
      </c>
      <c r="C227" s="14" t="s">
        <v>45</v>
      </c>
      <c r="D227" s="14">
        <v>2</v>
      </c>
      <c r="E227" s="15">
        <v>45324.658333333333</v>
      </c>
      <c r="F227" s="16">
        <v>1.46</v>
      </c>
      <c r="G227" s="14">
        <v>12204</v>
      </c>
      <c r="H227" s="14" t="s">
        <v>14</v>
      </c>
      <c r="I227" s="16">
        <f t="shared" si="15"/>
        <v>2.92</v>
      </c>
      <c r="J227" s="14" t="str">
        <f t="shared" si="16"/>
        <v>Feb</v>
      </c>
      <c r="K227" s="14">
        <f t="shared" si="18"/>
        <v>2024</v>
      </c>
      <c r="L227" s="14" t="str">
        <f t="shared" si="19"/>
        <v>Completed</v>
      </c>
      <c r="M227" s="18" t="str">
        <f t="shared" si="17"/>
        <v>Wholesale</v>
      </c>
    </row>
    <row r="228" spans="1:13" ht="15" thickBot="1" x14ac:dyDescent="0.35">
      <c r="A228" s="17">
        <v>50227</v>
      </c>
      <c r="B228" s="14">
        <v>22086</v>
      </c>
      <c r="C228" s="14" t="s">
        <v>41</v>
      </c>
      <c r="D228" s="14">
        <v>13</v>
      </c>
      <c r="E228" s="15">
        <v>45450.699305555558</v>
      </c>
      <c r="F228" s="16">
        <v>3.07</v>
      </c>
      <c r="G228" s="14">
        <v>12259</v>
      </c>
      <c r="H228" s="14" t="s">
        <v>14</v>
      </c>
      <c r="I228" s="16">
        <f t="shared" si="15"/>
        <v>39.909999999999997</v>
      </c>
      <c r="J228" s="14" t="str">
        <f t="shared" si="16"/>
        <v>Jun</v>
      </c>
      <c r="K228" s="14">
        <f t="shared" si="18"/>
        <v>2024</v>
      </c>
      <c r="L228" s="14" t="str">
        <f t="shared" si="19"/>
        <v>Completed</v>
      </c>
      <c r="M228" s="18" t="str">
        <f t="shared" si="17"/>
        <v>New</v>
      </c>
    </row>
    <row r="229" spans="1:13" ht="15" thickBot="1" x14ac:dyDescent="0.35">
      <c r="A229" s="17">
        <v>50228</v>
      </c>
      <c r="B229" s="14">
        <v>22727</v>
      </c>
      <c r="C229" s="14" t="s">
        <v>46</v>
      </c>
      <c r="D229" s="14">
        <v>2</v>
      </c>
      <c r="E229" s="15">
        <v>45438.586805555555</v>
      </c>
      <c r="F229" s="16">
        <v>3.62</v>
      </c>
      <c r="G229" s="14">
        <v>12127</v>
      </c>
      <c r="H229" s="14" t="s">
        <v>18</v>
      </c>
      <c r="I229" s="16">
        <f t="shared" si="15"/>
        <v>7.24</v>
      </c>
      <c r="J229" s="14" t="str">
        <f t="shared" si="16"/>
        <v>May</v>
      </c>
      <c r="K229" s="14">
        <f t="shared" si="18"/>
        <v>2024</v>
      </c>
      <c r="L229" s="14" t="str">
        <f t="shared" si="19"/>
        <v>Completed</v>
      </c>
      <c r="M229" s="18" t="str">
        <f t="shared" si="17"/>
        <v>New</v>
      </c>
    </row>
    <row r="230" spans="1:13" ht="15" thickBot="1" x14ac:dyDescent="0.35">
      <c r="A230" s="17">
        <v>50229</v>
      </c>
      <c r="B230" s="14" t="s">
        <v>39</v>
      </c>
      <c r="C230" s="14" t="s">
        <v>40</v>
      </c>
      <c r="D230" s="14">
        <v>13</v>
      </c>
      <c r="E230" s="15">
        <v>45496.645833333336</v>
      </c>
      <c r="F230" s="16">
        <v>1.9</v>
      </c>
      <c r="G230" s="14">
        <v>12708</v>
      </c>
      <c r="H230" s="14" t="s">
        <v>28</v>
      </c>
      <c r="I230" s="16">
        <f t="shared" si="15"/>
        <v>24.7</v>
      </c>
      <c r="J230" s="14" t="str">
        <f t="shared" si="16"/>
        <v>Jul</v>
      </c>
      <c r="K230" s="14">
        <f t="shared" si="18"/>
        <v>2024</v>
      </c>
      <c r="L230" s="14" t="str">
        <f t="shared" si="19"/>
        <v>Completed</v>
      </c>
      <c r="M230" s="18" t="str">
        <f t="shared" si="17"/>
        <v>Wholesale</v>
      </c>
    </row>
    <row r="231" spans="1:13" ht="15" thickBot="1" x14ac:dyDescent="0.35">
      <c r="A231" s="17">
        <v>50230</v>
      </c>
      <c r="B231" s="14">
        <v>21212</v>
      </c>
      <c r="C231" s="14" t="s">
        <v>21</v>
      </c>
      <c r="D231" s="14">
        <v>3</v>
      </c>
      <c r="E231" s="15">
        <v>45557.522916666669</v>
      </c>
      <c r="F231" s="16">
        <v>0.48</v>
      </c>
      <c r="G231" s="14">
        <v>12616</v>
      </c>
      <c r="H231" s="14" t="s">
        <v>23</v>
      </c>
      <c r="I231" s="16">
        <f t="shared" si="15"/>
        <v>1.44</v>
      </c>
      <c r="J231" s="14" t="str">
        <f t="shared" si="16"/>
        <v>Sep</v>
      </c>
      <c r="K231" s="14">
        <f t="shared" si="18"/>
        <v>2024</v>
      </c>
      <c r="L231" s="14" t="str">
        <f t="shared" si="19"/>
        <v>Completed</v>
      </c>
      <c r="M231" s="18" t="str">
        <f t="shared" si="17"/>
        <v>Returning</v>
      </c>
    </row>
    <row r="232" spans="1:13" ht="15" thickBot="1" x14ac:dyDescent="0.35">
      <c r="A232" s="17">
        <v>50231</v>
      </c>
      <c r="B232" s="14" t="s">
        <v>15</v>
      </c>
      <c r="C232" s="14" t="s">
        <v>16</v>
      </c>
      <c r="D232" s="14">
        <v>4</v>
      </c>
      <c r="E232" s="15">
        <v>45442.561111111114</v>
      </c>
      <c r="F232" s="16">
        <v>3.19</v>
      </c>
      <c r="G232" s="14">
        <v>12313</v>
      </c>
      <c r="H232" s="14" t="s">
        <v>28</v>
      </c>
      <c r="I232" s="16">
        <f t="shared" si="15"/>
        <v>12.76</v>
      </c>
      <c r="J232" s="14" t="str">
        <f t="shared" si="16"/>
        <v>May</v>
      </c>
      <c r="K232" s="14">
        <f t="shared" si="18"/>
        <v>2024</v>
      </c>
      <c r="L232" s="14" t="str">
        <f t="shared" si="19"/>
        <v>Completed</v>
      </c>
      <c r="M232" s="18" t="str">
        <f t="shared" si="17"/>
        <v>New</v>
      </c>
    </row>
    <row r="233" spans="1:13" ht="15" thickBot="1" x14ac:dyDescent="0.35">
      <c r="A233" s="17">
        <v>50232</v>
      </c>
      <c r="B233" s="14">
        <v>84991</v>
      </c>
      <c r="C233" s="14" t="s">
        <v>25</v>
      </c>
      <c r="D233" s="14">
        <v>23</v>
      </c>
      <c r="E233" s="15">
        <v>45510.451388888891</v>
      </c>
      <c r="F233" s="16">
        <v>0.55000000000000004</v>
      </c>
      <c r="G233" s="14">
        <v>12744</v>
      </c>
      <c r="H233" s="14" t="s">
        <v>18</v>
      </c>
      <c r="I233" s="16">
        <f t="shared" si="15"/>
        <v>12.65</v>
      </c>
      <c r="J233" s="14" t="str">
        <f t="shared" si="16"/>
        <v>Aug</v>
      </c>
      <c r="K233" s="14">
        <f t="shared" si="18"/>
        <v>2024</v>
      </c>
      <c r="L233" s="14" t="str">
        <f t="shared" si="19"/>
        <v>Completed</v>
      </c>
      <c r="M233" s="18" t="str">
        <f t="shared" si="17"/>
        <v>Wholesale</v>
      </c>
    </row>
    <row r="234" spans="1:13" ht="15" thickBot="1" x14ac:dyDescent="0.35">
      <c r="A234" s="17">
        <v>50233</v>
      </c>
      <c r="B234" s="14">
        <v>84991</v>
      </c>
      <c r="C234" s="14" t="s">
        <v>25</v>
      </c>
      <c r="D234" s="14">
        <v>21</v>
      </c>
      <c r="E234" s="15">
        <v>45514.52847222222</v>
      </c>
      <c r="F234" s="16">
        <v>0.65</v>
      </c>
      <c r="G234" s="14">
        <v>12076</v>
      </c>
      <c r="H234" s="14" t="s">
        <v>26</v>
      </c>
      <c r="I234" s="16">
        <f t="shared" si="15"/>
        <v>13.65</v>
      </c>
      <c r="J234" s="14" t="str">
        <f t="shared" si="16"/>
        <v>Aug</v>
      </c>
      <c r="K234" s="14">
        <f t="shared" si="18"/>
        <v>2024</v>
      </c>
      <c r="L234" s="14" t="str">
        <f t="shared" si="19"/>
        <v>Completed</v>
      </c>
      <c r="M234" s="18" t="str">
        <f t="shared" si="17"/>
        <v>Returning</v>
      </c>
    </row>
    <row r="235" spans="1:13" ht="15" thickBot="1" x14ac:dyDescent="0.35">
      <c r="A235" s="17">
        <v>50234</v>
      </c>
      <c r="B235" s="14">
        <v>21212</v>
      </c>
      <c r="C235" s="14" t="s">
        <v>21</v>
      </c>
      <c r="D235" s="14">
        <v>1</v>
      </c>
      <c r="E235" s="15">
        <v>45554.446527777778</v>
      </c>
      <c r="F235" s="16">
        <v>0.57999999999999996</v>
      </c>
      <c r="G235" s="14">
        <v>12800</v>
      </c>
      <c r="H235" s="14" t="s">
        <v>28</v>
      </c>
      <c r="I235" s="16">
        <f t="shared" si="15"/>
        <v>0.57999999999999996</v>
      </c>
      <c r="J235" s="14" t="str">
        <f t="shared" si="16"/>
        <v>Sep</v>
      </c>
      <c r="K235" s="14">
        <f t="shared" si="18"/>
        <v>2024</v>
      </c>
      <c r="L235" s="14" t="str">
        <f t="shared" si="19"/>
        <v>Completed</v>
      </c>
      <c r="M235" s="18" t="str">
        <f t="shared" si="17"/>
        <v>Returning</v>
      </c>
    </row>
    <row r="236" spans="1:13" ht="15" thickBot="1" x14ac:dyDescent="0.35">
      <c r="A236" s="17">
        <v>50235</v>
      </c>
      <c r="B236" s="14">
        <v>71053</v>
      </c>
      <c r="C236" s="14" t="s">
        <v>38</v>
      </c>
      <c r="D236" s="14">
        <v>8</v>
      </c>
      <c r="E236" s="15">
        <v>45356.380555555559</v>
      </c>
      <c r="F236" s="16">
        <v>3.32</v>
      </c>
      <c r="G236" s="14">
        <v>12392</v>
      </c>
      <c r="H236" s="14" t="s">
        <v>20</v>
      </c>
      <c r="I236" s="16">
        <f t="shared" si="15"/>
        <v>26.56</v>
      </c>
      <c r="J236" s="14" t="str">
        <f t="shared" si="16"/>
        <v>Mar</v>
      </c>
      <c r="K236" s="14">
        <f t="shared" si="18"/>
        <v>2024</v>
      </c>
      <c r="L236" s="14" t="str">
        <f t="shared" si="19"/>
        <v>Completed</v>
      </c>
      <c r="M236" s="18" t="str">
        <f t="shared" si="17"/>
        <v>Returning</v>
      </c>
    </row>
    <row r="237" spans="1:13" ht="15" thickBot="1" x14ac:dyDescent="0.35">
      <c r="A237" s="17">
        <v>50236</v>
      </c>
      <c r="B237" s="14">
        <v>71053</v>
      </c>
      <c r="C237" s="14" t="s">
        <v>38</v>
      </c>
      <c r="D237" s="14">
        <v>22</v>
      </c>
      <c r="E237" s="15">
        <v>45601.442361111112</v>
      </c>
      <c r="F237" s="16">
        <v>3.32</v>
      </c>
      <c r="G237" s="14">
        <v>12454</v>
      </c>
      <c r="H237" s="14" t="s">
        <v>24</v>
      </c>
      <c r="I237" s="16">
        <f t="shared" si="15"/>
        <v>73.039999999999992</v>
      </c>
      <c r="J237" s="14" t="str">
        <f t="shared" si="16"/>
        <v>Nov</v>
      </c>
      <c r="K237" s="14">
        <f t="shared" si="18"/>
        <v>2024</v>
      </c>
      <c r="L237" s="14" t="str">
        <f t="shared" si="19"/>
        <v>Completed</v>
      </c>
      <c r="M237" s="18" t="str">
        <f t="shared" si="17"/>
        <v>Returning</v>
      </c>
    </row>
    <row r="238" spans="1:13" ht="15" thickBot="1" x14ac:dyDescent="0.35">
      <c r="A238" s="17">
        <v>50237</v>
      </c>
      <c r="B238" s="14" t="s">
        <v>43</v>
      </c>
      <c r="C238" s="14" t="s">
        <v>44</v>
      </c>
      <c r="D238" s="14">
        <v>12</v>
      </c>
      <c r="E238" s="15">
        <v>45362.709722222222</v>
      </c>
      <c r="F238" s="16">
        <v>1.35</v>
      </c>
      <c r="G238" s="14">
        <v>12255</v>
      </c>
      <c r="H238" s="14" t="s">
        <v>24</v>
      </c>
      <c r="I238" s="16">
        <f t="shared" si="15"/>
        <v>16.200000000000003</v>
      </c>
      <c r="J238" s="14" t="str">
        <f t="shared" si="16"/>
        <v>Mar</v>
      </c>
      <c r="K238" s="14">
        <f t="shared" si="18"/>
        <v>2024</v>
      </c>
      <c r="L238" s="14" t="str">
        <f t="shared" si="19"/>
        <v>Completed</v>
      </c>
      <c r="M238" s="18" t="str">
        <f t="shared" si="17"/>
        <v>Wholesale</v>
      </c>
    </row>
    <row r="239" spans="1:13" ht="15" thickBot="1" x14ac:dyDescent="0.35">
      <c r="A239" s="17">
        <v>50238</v>
      </c>
      <c r="B239" s="14" t="s">
        <v>31</v>
      </c>
      <c r="C239" s="14" t="s">
        <v>32</v>
      </c>
      <c r="D239" s="14">
        <v>17</v>
      </c>
      <c r="E239" s="15">
        <v>45387.688194444447</v>
      </c>
      <c r="F239" s="16">
        <v>2.67</v>
      </c>
      <c r="G239" s="14">
        <v>12268</v>
      </c>
      <c r="H239" s="14" t="s">
        <v>22</v>
      </c>
      <c r="I239" s="16">
        <f t="shared" si="15"/>
        <v>45.39</v>
      </c>
      <c r="J239" s="14" t="str">
        <f t="shared" si="16"/>
        <v>Apr</v>
      </c>
      <c r="K239" s="14">
        <f t="shared" si="18"/>
        <v>2024</v>
      </c>
      <c r="L239" s="14" t="str">
        <f t="shared" si="19"/>
        <v>Completed</v>
      </c>
      <c r="M239" s="18" t="str">
        <f t="shared" si="17"/>
        <v>Returning</v>
      </c>
    </row>
    <row r="240" spans="1:13" ht="15" thickBot="1" x14ac:dyDescent="0.35">
      <c r="A240" s="17">
        <v>50239</v>
      </c>
      <c r="B240" s="14">
        <v>20725</v>
      </c>
      <c r="C240" s="14" t="s">
        <v>19</v>
      </c>
      <c r="D240" s="14">
        <v>23</v>
      </c>
      <c r="E240" s="15">
        <v>45401.536111111112</v>
      </c>
      <c r="F240" s="16">
        <v>1.69</v>
      </c>
      <c r="G240" s="14">
        <v>12125</v>
      </c>
      <c r="H240" s="14" t="s">
        <v>23</v>
      </c>
      <c r="I240" s="16">
        <f t="shared" si="15"/>
        <v>38.869999999999997</v>
      </c>
      <c r="J240" s="14" t="str">
        <f t="shared" si="16"/>
        <v>Apr</v>
      </c>
      <c r="K240" s="14">
        <f t="shared" si="18"/>
        <v>2024</v>
      </c>
      <c r="L240" s="14" t="str">
        <f t="shared" si="19"/>
        <v>Completed</v>
      </c>
      <c r="M240" s="18" t="str">
        <f t="shared" si="17"/>
        <v>New</v>
      </c>
    </row>
    <row r="241" spans="1:13" ht="15" thickBot="1" x14ac:dyDescent="0.35">
      <c r="A241" s="17">
        <v>50240</v>
      </c>
      <c r="B241" s="14" t="s">
        <v>12</v>
      </c>
      <c r="C241" s="14" t="s">
        <v>13</v>
      </c>
      <c r="D241" s="14">
        <v>23</v>
      </c>
      <c r="E241" s="15">
        <v>45523.455555555556</v>
      </c>
      <c r="F241" s="16">
        <v>2.42</v>
      </c>
      <c r="G241" s="14">
        <v>12698</v>
      </c>
      <c r="H241" s="14" t="s">
        <v>18</v>
      </c>
      <c r="I241" s="16">
        <f t="shared" si="15"/>
        <v>55.66</v>
      </c>
      <c r="J241" s="14" t="str">
        <f t="shared" si="16"/>
        <v>Aug</v>
      </c>
      <c r="K241" s="14">
        <f t="shared" si="18"/>
        <v>2024</v>
      </c>
      <c r="L241" s="14" t="str">
        <f t="shared" si="19"/>
        <v>Completed</v>
      </c>
      <c r="M241" s="18" t="str">
        <f t="shared" si="17"/>
        <v>Returning</v>
      </c>
    </row>
    <row r="242" spans="1:13" ht="15" thickBot="1" x14ac:dyDescent="0.35">
      <c r="A242" s="17">
        <v>50241</v>
      </c>
      <c r="B242" s="14">
        <v>21212</v>
      </c>
      <c r="C242" s="14" t="s">
        <v>21</v>
      </c>
      <c r="D242" s="14">
        <v>18</v>
      </c>
      <c r="E242" s="15">
        <v>45655.379166666666</v>
      </c>
      <c r="F242" s="16">
        <v>0.64</v>
      </c>
      <c r="G242" s="14">
        <v>12871</v>
      </c>
      <c r="H242" s="14" t="s">
        <v>23</v>
      </c>
      <c r="I242" s="16">
        <f t="shared" si="15"/>
        <v>11.52</v>
      </c>
      <c r="J242" s="14" t="str">
        <f t="shared" si="16"/>
        <v>Dec</v>
      </c>
      <c r="K242" s="14">
        <f t="shared" si="18"/>
        <v>2024</v>
      </c>
      <c r="L242" s="14" t="str">
        <f t="shared" si="19"/>
        <v>Completed</v>
      </c>
      <c r="M242" s="18" t="str">
        <f t="shared" si="17"/>
        <v>New</v>
      </c>
    </row>
    <row r="243" spans="1:13" ht="15" thickBot="1" x14ac:dyDescent="0.35">
      <c r="A243" s="17">
        <v>50242</v>
      </c>
      <c r="B243" s="14">
        <v>22720</v>
      </c>
      <c r="C243" s="14" t="s">
        <v>17</v>
      </c>
      <c r="D243" s="14">
        <v>8</v>
      </c>
      <c r="E243" s="15">
        <v>45477.694444444445</v>
      </c>
      <c r="F243" s="16">
        <v>4.5599999999999996</v>
      </c>
      <c r="G243" s="14">
        <v>12142</v>
      </c>
      <c r="H243" s="14" t="s">
        <v>37</v>
      </c>
      <c r="I243" s="16">
        <f t="shared" si="15"/>
        <v>36.479999999999997</v>
      </c>
      <c r="J243" s="14" t="str">
        <f t="shared" si="16"/>
        <v>Jul</v>
      </c>
      <c r="K243" s="14">
        <f t="shared" si="18"/>
        <v>2024</v>
      </c>
      <c r="L243" s="14" t="str">
        <f t="shared" si="19"/>
        <v>Completed</v>
      </c>
      <c r="M243" s="18" t="str">
        <f t="shared" si="17"/>
        <v>Returning</v>
      </c>
    </row>
    <row r="244" spans="1:13" ht="15" thickBot="1" x14ac:dyDescent="0.35">
      <c r="A244" s="17">
        <v>50243</v>
      </c>
      <c r="B244" s="14">
        <v>23203</v>
      </c>
      <c r="C244" s="14" t="s">
        <v>30</v>
      </c>
      <c r="D244" s="14">
        <v>18</v>
      </c>
      <c r="E244" s="15">
        <v>45305.589583333334</v>
      </c>
      <c r="F244" s="16">
        <v>2.11</v>
      </c>
      <c r="G244" s="14">
        <v>12564</v>
      </c>
      <c r="H244" s="14" t="s">
        <v>23</v>
      </c>
      <c r="I244" s="16">
        <f t="shared" si="15"/>
        <v>37.979999999999997</v>
      </c>
      <c r="J244" s="14" t="str">
        <f t="shared" si="16"/>
        <v>Jan</v>
      </c>
      <c r="K244" s="14">
        <f t="shared" si="18"/>
        <v>2024</v>
      </c>
      <c r="L244" s="14" t="str">
        <f t="shared" si="19"/>
        <v>Completed</v>
      </c>
      <c r="M244" s="18" t="str">
        <f t="shared" si="17"/>
        <v>Wholesale</v>
      </c>
    </row>
    <row r="245" spans="1:13" ht="15" thickBot="1" x14ac:dyDescent="0.35">
      <c r="A245" s="17">
        <v>50244</v>
      </c>
      <c r="B245" s="14">
        <v>84991</v>
      </c>
      <c r="C245" s="14" t="s">
        <v>25</v>
      </c>
      <c r="D245" s="14">
        <v>10</v>
      </c>
      <c r="E245" s="15">
        <v>45336.379861111112</v>
      </c>
      <c r="F245" s="16">
        <v>0.61</v>
      </c>
      <c r="G245" s="14">
        <v>12490</v>
      </c>
      <c r="H245" s="14" t="s">
        <v>10</v>
      </c>
      <c r="I245" s="16">
        <f t="shared" si="15"/>
        <v>6.1</v>
      </c>
      <c r="J245" s="14" t="str">
        <f t="shared" si="16"/>
        <v>Feb</v>
      </c>
      <c r="K245" s="14">
        <f t="shared" si="18"/>
        <v>2024</v>
      </c>
      <c r="L245" s="14" t="str">
        <f t="shared" si="19"/>
        <v>Completed</v>
      </c>
      <c r="M245" s="18" t="str">
        <f t="shared" si="17"/>
        <v>Returning</v>
      </c>
    </row>
    <row r="246" spans="1:13" ht="15" thickBot="1" x14ac:dyDescent="0.35">
      <c r="A246" s="17">
        <v>50245</v>
      </c>
      <c r="B246" s="14" t="s">
        <v>39</v>
      </c>
      <c r="C246" s="14" t="s">
        <v>40</v>
      </c>
      <c r="D246" s="14">
        <v>3</v>
      </c>
      <c r="E246" s="15">
        <v>45501.741666666669</v>
      </c>
      <c r="F246" s="16">
        <v>2</v>
      </c>
      <c r="G246" s="14">
        <v>12075</v>
      </c>
      <c r="H246" s="14" t="s">
        <v>28</v>
      </c>
      <c r="I246" s="16">
        <f t="shared" si="15"/>
        <v>6</v>
      </c>
      <c r="J246" s="14" t="str">
        <f t="shared" si="16"/>
        <v>Jul</v>
      </c>
      <c r="K246" s="14">
        <f t="shared" si="18"/>
        <v>2024</v>
      </c>
      <c r="L246" s="14" t="str">
        <f t="shared" si="19"/>
        <v>Completed</v>
      </c>
      <c r="M246" s="18" t="str">
        <f t="shared" si="17"/>
        <v>Wholesale</v>
      </c>
    </row>
    <row r="247" spans="1:13" ht="15" thickBot="1" x14ac:dyDescent="0.35">
      <c r="A247" s="17">
        <v>50246</v>
      </c>
      <c r="B247" s="14">
        <v>20725</v>
      </c>
      <c r="C247" s="14" t="s">
        <v>19</v>
      </c>
      <c r="D247" s="14">
        <v>12</v>
      </c>
      <c r="E247" s="15">
        <v>45640.700694444444</v>
      </c>
      <c r="F247" s="16">
        <v>1.88</v>
      </c>
      <c r="G247" s="14">
        <v>12564</v>
      </c>
      <c r="H247" s="14" t="s">
        <v>20</v>
      </c>
      <c r="I247" s="16">
        <f t="shared" si="15"/>
        <v>22.56</v>
      </c>
      <c r="J247" s="14" t="str">
        <f t="shared" si="16"/>
        <v>Dec</v>
      </c>
      <c r="K247" s="14">
        <f t="shared" si="18"/>
        <v>2024</v>
      </c>
      <c r="L247" s="14" t="str">
        <f t="shared" si="19"/>
        <v>Completed</v>
      </c>
      <c r="M247" s="18" t="str">
        <f t="shared" si="17"/>
        <v>Wholesale</v>
      </c>
    </row>
    <row r="248" spans="1:13" ht="15" thickBot="1" x14ac:dyDescent="0.35">
      <c r="A248" s="17">
        <v>50247</v>
      </c>
      <c r="B248" s="14">
        <v>22720</v>
      </c>
      <c r="C248" s="14" t="s">
        <v>17</v>
      </c>
      <c r="D248" s="14">
        <v>17</v>
      </c>
      <c r="E248" s="15">
        <v>45358.640972222223</v>
      </c>
      <c r="F248" s="16">
        <v>4.3</v>
      </c>
      <c r="G248" s="14">
        <v>12127</v>
      </c>
      <c r="H248" s="14" t="s">
        <v>10</v>
      </c>
      <c r="I248" s="16">
        <f t="shared" si="15"/>
        <v>73.099999999999994</v>
      </c>
      <c r="J248" s="14" t="str">
        <f t="shared" si="16"/>
        <v>Mar</v>
      </c>
      <c r="K248" s="14">
        <f t="shared" si="18"/>
        <v>2024</v>
      </c>
      <c r="L248" s="14" t="str">
        <f t="shared" si="19"/>
        <v>Completed</v>
      </c>
      <c r="M248" s="18" t="str">
        <f t="shared" si="17"/>
        <v>New</v>
      </c>
    </row>
    <row r="249" spans="1:13" ht="15" thickBot="1" x14ac:dyDescent="0.35">
      <c r="A249" s="17">
        <v>50248</v>
      </c>
      <c r="B249" s="14">
        <v>84879</v>
      </c>
      <c r="C249" s="14" t="s">
        <v>45</v>
      </c>
      <c r="D249" s="14">
        <v>6</v>
      </c>
      <c r="E249" s="15">
        <v>45447.45</v>
      </c>
      <c r="F249" s="16">
        <v>1.86</v>
      </c>
      <c r="G249" s="14">
        <v>12354</v>
      </c>
      <c r="H249" s="14" t="s">
        <v>10</v>
      </c>
      <c r="I249" s="16">
        <f t="shared" si="15"/>
        <v>11.16</v>
      </c>
      <c r="J249" s="14" t="str">
        <f t="shared" si="16"/>
        <v>Jun</v>
      </c>
      <c r="K249" s="14">
        <f t="shared" si="18"/>
        <v>2024</v>
      </c>
      <c r="L249" s="14" t="str">
        <f t="shared" si="19"/>
        <v>Completed</v>
      </c>
      <c r="M249" s="18" t="str">
        <f t="shared" si="17"/>
        <v>Wholesale</v>
      </c>
    </row>
    <row r="250" spans="1:13" ht="15" thickBot="1" x14ac:dyDescent="0.35">
      <c r="A250" s="17">
        <v>50249</v>
      </c>
      <c r="B250" s="14">
        <v>22960</v>
      </c>
      <c r="C250" s="14" t="s">
        <v>49</v>
      </c>
      <c r="D250" s="14">
        <v>7</v>
      </c>
      <c r="E250" s="15">
        <v>45332.511111111111</v>
      </c>
      <c r="F250" s="16">
        <v>4.43</v>
      </c>
      <c r="G250" s="14">
        <v>12128</v>
      </c>
      <c r="H250" s="14" t="s">
        <v>22</v>
      </c>
      <c r="I250" s="16">
        <f t="shared" si="15"/>
        <v>31.009999999999998</v>
      </c>
      <c r="J250" s="14" t="str">
        <f t="shared" si="16"/>
        <v>Feb</v>
      </c>
      <c r="K250" s="14">
        <f t="shared" si="18"/>
        <v>2024</v>
      </c>
      <c r="L250" s="14" t="str">
        <f t="shared" si="19"/>
        <v>Completed</v>
      </c>
      <c r="M250" s="18" t="str">
        <f t="shared" si="17"/>
        <v>Returning</v>
      </c>
    </row>
    <row r="251" spans="1:13" ht="15" thickBot="1" x14ac:dyDescent="0.35">
      <c r="A251" s="17">
        <v>50250</v>
      </c>
      <c r="B251" s="14">
        <v>84991</v>
      </c>
      <c r="C251" s="14" t="s">
        <v>25</v>
      </c>
      <c r="D251" s="14">
        <v>17</v>
      </c>
      <c r="E251" s="15">
        <v>45565.399305555555</v>
      </c>
      <c r="F251" s="16">
        <v>0.57999999999999996</v>
      </c>
      <c r="G251" s="14">
        <v>12594</v>
      </c>
      <c r="H251" s="14" t="s">
        <v>23</v>
      </c>
      <c r="I251" s="16">
        <f t="shared" si="15"/>
        <v>9.86</v>
      </c>
      <c r="J251" s="14" t="str">
        <f t="shared" si="16"/>
        <v>Sep</v>
      </c>
      <c r="K251" s="14">
        <f t="shared" si="18"/>
        <v>2024</v>
      </c>
      <c r="L251" s="14" t="str">
        <f t="shared" si="19"/>
        <v>Completed</v>
      </c>
      <c r="M251" s="18" t="str">
        <f t="shared" si="17"/>
        <v>Wholesale</v>
      </c>
    </row>
    <row r="252" spans="1:13" ht="15" thickBot="1" x14ac:dyDescent="0.35">
      <c r="A252" s="17" t="s">
        <v>63</v>
      </c>
      <c r="B252" s="14">
        <v>22720</v>
      </c>
      <c r="C252" s="14" t="s">
        <v>17</v>
      </c>
      <c r="D252" s="14">
        <v>-1</v>
      </c>
      <c r="E252" s="15">
        <v>45629.572916666664</v>
      </c>
      <c r="F252" s="16">
        <v>4.3499999999999996</v>
      </c>
      <c r="G252" s="14">
        <v>12971</v>
      </c>
      <c r="H252" s="14" t="s">
        <v>20</v>
      </c>
      <c r="I252" s="16">
        <f t="shared" si="15"/>
        <v>-4.3499999999999996</v>
      </c>
      <c r="J252" s="14" t="str">
        <f t="shared" si="16"/>
        <v>Dec</v>
      </c>
      <c r="K252" s="14">
        <f t="shared" si="18"/>
        <v>2024</v>
      </c>
      <c r="L252" s="14" t="str">
        <f t="shared" si="19"/>
        <v>Cancelled</v>
      </c>
      <c r="M252" s="18" t="str">
        <f t="shared" si="17"/>
        <v>New</v>
      </c>
    </row>
    <row r="253" spans="1:13" ht="15" thickBot="1" x14ac:dyDescent="0.35">
      <c r="A253" s="17">
        <v>50252</v>
      </c>
      <c r="B253" s="14">
        <v>47566</v>
      </c>
      <c r="C253" s="14" t="s">
        <v>27</v>
      </c>
      <c r="D253" s="14">
        <v>19</v>
      </c>
      <c r="E253" s="15">
        <v>45625.482638888891</v>
      </c>
      <c r="F253" s="16">
        <v>5.31</v>
      </c>
      <c r="G253" s="14">
        <v>12509</v>
      </c>
      <c r="H253" s="14" t="s">
        <v>10</v>
      </c>
      <c r="I253" s="16">
        <f t="shared" si="15"/>
        <v>100.88999999999999</v>
      </c>
      <c r="J253" s="14" t="str">
        <f t="shared" si="16"/>
        <v>Nov</v>
      </c>
      <c r="K253" s="14">
        <f t="shared" si="18"/>
        <v>2024</v>
      </c>
      <c r="L253" s="14" t="str">
        <f t="shared" si="19"/>
        <v>Completed</v>
      </c>
      <c r="M253" s="18" t="str">
        <f t="shared" si="17"/>
        <v>New</v>
      </c>
    </row>
    <row r="254" spans="1:13" ht="15" thickBot="1" x14ac:dyDescent="0.35">
      <c r="A254" s="17">
        <v>50253</v>
      </c>
      <c r="B254" s="14">
        <v>22960</v>
      </c>
      <c r="C254" s="14" t="s">
        <v>49</v>
      </c>
      <c r="D254" s="14">
        <v>16</v>
      </c>
      <c r="E254" s="15">
        <v>45620.54791666667</v>
      </c>
      <c r="F254" s="16">
        <v>4.8099999999999996</v>
      </c>
      <c r="G254" s="14">
        <v>12415</v>
      </c>
      <c r="H254" s="14" t="s">
        <v>22</v>
      </c>
      <c r="I254" s="16">
        <f t="shared" si="15"/>
        <v>76.959999999999994</v>
      </c>
      <c r="J254" s="14" t="str">
        <f t="shared" si="16"/>
        <v>Nov</v>
      </c>
      <c r="K254" s="14">
        <f t="shared" si="18"/>
        <v>2024</v>
      </c>
      <c r="L254" s="14" t="str">
        <f t="shared" si="19"/>
        <v>Completed</v>
      </c>
      <c r="M254" s="18" t="str">
        <f t="shared" si="17"/>
        <v>New</v>
      </c>
    </row>
    <row r="255" spans="1:13" ht="15" thickBot="1" x14ac:dyDescent="0.35">
      <c r="A255" s="17">
        <v>50254</v>
      </c>
      <c r="B255" s="14">
        <v>20725</v>
      </c>
      <c r="C255" s="14" t="s">
        <v>19</v>
      </c>
      <c r="D255" s="14">
        <v>6</v>
      </c>
      <c r="E255" s="15">
        <v>45329.375694444447</v>
      </c>
      <c r="F255" s="16">
        <v>1.68</v>
      </c>
      <c r="G255" s="14">
        <v>12208</v>
      </c>
      <c r="H255" s="14" t="s">
        <v>18</v>
      </c>
      <c r="I255" s="16">
        <f t="shared" si="15"/>
        <v>10.08</v>
      </c>
      <c r="J255" s="14" t="str">
        <f t="shared" si="16"/>
        <v>Feb</v>
      </c>
      <c r="K255" s="14">
        <f t="shared" si="18"/>
        <v>2024</v>
      </c>
      <c r="L255" s="14" t="str">
        <f t="shared" si="19"/>
        <v>Completed</v>
      </c>
      <c r="M255" s="18" t="str">
        <f t="shared" si="17"/>
        <v>Returning</v>
      </c>
    </row>
    <row r="256" spans="1:13" ht="15" thickBot="1" x14ac:dyDescent="0.35">
      <c r="A256" s="17">
        <v>50255</v>
      </c>
      <c r="B256" s="14">
        <v>84991</v>
      </c>
      <c r="C256" s="14" t="s">
        <v>25</v>
      </c>
      <c r="D256" s="14">
        <v>23</v>
      </c>
      <c r="E256" s="15">
        <v>45365.555555555555</v>
      </c>
      <c r="F256" s="16">
        <v>0.66</v>
      </c>
      <c r="G256" s="14">
        <v>12353</v>
      </c>
      <c r="H256" s="14" t="s">
        <v>26</v>
      </c>
      <c r="I256" s="16">
        <f t="shared" si="15"/>
        <v>15.180000000000001</v>
      </c>
      <c r="J256" s="14" t="str">
        <f t="shared" si="16"/>
        <v>Mar</v>
      </c>
      <c r="K256" s="14">
        <f t="shared" si="18"/>
        <v>2024</v>
      </c>
      <c r="L256" s="14" t="str">
        <f t="shared" si="19"/>
        <v>Completed</v>
      </c>
      <c r="M256" s="18" t="str">
        <f t="shared" si="17"/>
        <v>New</v>
      </c>
    </row>
    <row r="257" spans="1:13" ht="15" thickBot="1" x14ac:dyDescent="0.35">
      <c r="A257" s="17">
        <v>50256</v>
      </c>
      <c r="B257" s="14">
        <v>84879</v>
      </c>
      <c r="C257" s="14" t="s">
        <v>45</v>
      </c>
      <c r="D257" s="14">
        <v>18</v>
      </c>
      <c r="E257" s="15">
        <v>45481.699305555558</v>
      </c>
      <c r="F257" s="16">
        <v>1.58</v>
      </c>
      <c r="G257" s="14">
        <v>12125</v>
      </c>
      <c r="H257" s="14" t="s">
        <v>22</v>
      </c>
      <c r="I257" s="16">
        <f t="shared" si="15"/>
        <v>28.44</v>
      </c>
      <c r="J257" s="14" t="str">
        <f t="shared" si="16"/>
        <v>Jul</v>
      </c>
      <c r="K257" s="14">
        <f t="shared" si="18"/>
        <v>2024</v>
      </c>
      <c r="L257" s="14" t="str">
        <f t="shared" si="19"/>
        <v>Completed</v>
      </c>
      <c r="M257" s="18" t="str">
        <f t="shared" si="17"/>
        <v>New</v>
      </c>
    </row>
    <row r="258" spans="1:13" ht="15" thickBot="1" x14ac:dyDescent="0.35">
      <c r="A258" s="17" t="s">
        <v>64</v>
      </c>
      <c r="B258" s="14">
        <v>20725</v>
      </c>
      <c r="C258" s="14" t="s">
        <v>19</v>
      </c>
      <c r="D258" s="14">
        <v>-4</v>
      </c>
      <c r="E258" s="15">
        <v>45418.433333333334</v>
      </c>
      <c r="F258" s="16">
        <v>1.9</v>
      </c>
      <c r="G258" s="14">
        <v>12428</v>
      </c>
      <c r="H258" s="14" t="s">
        <v>37</v>
      </c>
      <c r="I258" s="16">
        <f t="shared" ref="I258:I321" si="20">D258*F258</f>
        <v>-7.6</v>
      </c>
      <c r="J258" s="14" t="str">
        <f t="shared" ref="J258:J321" si="21">TEXT(E258,"mmm")</f>
        <v>May</v>
      </c>
      <c r="K258" s="14">
        <f t="shared" si="18"/>
        <v>2024</v>
      </c>
      <c r="L258" s="14" t="str">
        <f t="shared" si="19"/>
        <v>Cancelled</v>
      </c>
      <c r="M258" s="18" t="str">
        <f t="shared" ref="M258:M321" si="22">IF(G258=0,"Unknown",IF(MOD(G258,3)=0,"Wholesale",IF(MOD(G258,2)=0,"Returning","New")))</f>
        <v>Returning</v>
      </c>
    </row>
    <row r="259" spans="1:13" ht="15" thickBot="1" x14ac:dyDescent="0.35">
      <c r="A259" s="17">
        <v>50258</v>
      </c>
      <c r="B259" s="14">
        <v>22720</v>
      </c>
      <c r="C259" s="14" t="s">
        <v>17</v>
      </c>
      <c r="D259" s="14">
        <v>24</v>
      </c>
      <c r="E259" s="15">
        <v>45459.743750000001</v>
      </c>
      <c r="F259" s="16">
        <v>5.53</v>
      </c>
      <c r="G259" s="14">
        <v>12510</v>
      </c>
      <c r="H259" s="14" t="s">
        <v>10</v>
      </c>
      <c r="I259" s="16">
        <f t="shared" si="20"/>
        <v>132.72</v>
      </c>
      <c r="J259" s="14" t="str">
        <f t="shared" si="21"/>
        <v>Jun</v>
      </c>
      <c r="K259" s="14">
        <f t="shared" ref="K259:K322" si="23">YEAR(E259)</f>
        <v>2024</v>
      </c>
      <c r="L259" s="14" t="str">
        <f t="shared" ref="L259:L322" si="24">IF(OR(LEFT(A259,1)="C",D259&lt;0),"Cancelled","Completed")</f>
        <v>Completed</v>
      </c>
      <c r="M259" s="18" t="str">
        <f t="shared" si="22"/>
        <v>Wholesale</v>
      </c>
    </row>
    <row r="260" spans="1:13" ht="15" thickBot="1" x14ac:dyDescent="0.35">
      <c r="A260" s="17" t="s">
        <v>65</v>
      </c>
      <c r="B260" s="14">
        <v>20725</v>
      </c>
      <c r="C260" s="14" t="s">
        <v>19</v>
      </c>
      <c r="D260" s="14">
        <v>-7</v>
      </c>
      <c r="E260" s="15">
        <v>45547.552083333336</v>
      </c>
      <c r="F260" s="16">
        <v>1.69</v>
      </c>
      <c r="G260" s="14">
        <v>12989</v>
      </c>
      <c r="H260" s="14" t="s">
        <v>37</v>
      </c>
      <c r="I260" s="16">
        <f t="shared" si="20"/>
        <v>-11.83</v>
      </c>
      <c r="J260" s="14" t="str">
        <f t="shared" si="21"/>
        <v>Sep</v>
      </c>
      <c r="K260" s="14">
        <f t="shared" si="23"/>
        <v>2024</v>
      </c>
      <c r="L260" s="14" t="str">
        <f t="shared" si="24"/>
        <v>Cancelled</v>
      </c>
      <c r="M260" s="18" t="str">
        <f t="shared" si="22"/>
        <v>New</v>
      </c>
    </row>
    <row r="261" spans="1:13" ht="15" thickBot="1" x14ac:dyDescent="0.35">
      <c r="A261" s="17" t="s">
        <v>66</v>
      </c>
      <c r="B261" s="14">
        <v>22727</v>
      </c>
      <c r="C261" s="14" t="s">
        <v>46</v>
      </c>
      <c r="D261" s="14">
        <v>-2</v>
      </c>
      <c r="E261" s="15">
        <v>45590.584027777775</v>
      </c>
      <c r="F261" s="16">
        <v>3.97</v>
      </c>
      <c r="G261" s="14">
        <v>12863</v>
      </c>
      <c r="H261" s="14" t="s">
        <v>28</v>
      </c>
      <c r="I261" s="16">
        <f t="shared" si="20"/>
        <v>-7.94</v>
      </c>
      <c r="J261" s="14" t="str">
        <f t="shared" si="21"/>
        <v>Oct</v>
      </c>
      <c r="K261" s="14">
        <f t="shared" si="23"/>
        <v>2024</v>
      </c>
      <c r="L261" s="14" t="str">
        <f t="shared" si="24"/>
        <v>Cancelled</v>
      </c>
      <c r="M261" s="18" t="str">
        <f t="shared" si="22"/>
        <v>New</v>
      </c>
    </row>
    <row r="262" spans="1:13" ht="15" thickBot="1" x14ac:dyDescent="0.35">
      <c r="A262" s="17">
        <v>50261</v>
      </c>
      <c r="B262" s="14">
        <v>22960</v>
      </c>
      <c r="C262" s="14" t="s">
        <v>49</v>
      </c>
      <c r="D262" s="14">
        <v>4</v>
      </c>
      <c r="E262" s="15">
        <v>45566.338888888888</v>
      </c>
      <c r="F262" s="16">
        <v>4.93</v>
      </c>
      <c r="G262" s="14">
        <v>12744</v>
      </c>
      <c r="H262" s="14" t="s">
        <v>18</v>
      </c>
      <c r="I262" s="16">
        <f t="shared" si="20"/>
        <v>19.72</v>
      </c>
      <c r="J262" s="14" t="str">
        <f t="shared" si="21"/>
        <v>Oct</v>
      </c>
      <c r="K262" s="14">
        <f t="shared" si="23"/>
        <v>2024</v>
      </c>
      <c r="L262" s="14" t="str">
        <f t="shared" si="24"/>
        <v>Completed</v>
      </c>
      <c r="M262" s="18" t="str">
        <f t="shared" si="22"/>
        <v>Wholesale</v>
      </c>
    </row>
    <row r="263" spans="1:13" ht="15" thickBot="1" x14ac:dyDescent="0.35">
      <c r="A263" s="17" t="s">
        <v>67</v>
      </c>
      <c r="B263" s="14">
        <v>22386</v>
      </c>
      <c r="C263" s="14" t="s">
        <v>29</v>
      </c>
      <c r="D263" s="14">
        <v>-4</v>
      </c>
      <c r="E263" s="15">
        <v>45479.365277777775</v>
      </c>
      <c r="F263" s="16">
        <v>1.9</v>
      </c>
      <c r="G263" s="14">
        <v>12295</v>
      </c>
      <c r="H263" s="14" t="s">
        <v>24</v>
      </c>
      <c r="I263" s="16">
        <f t="shared" si="20"/>
        <v>-7.6</v>
      </c>
      <c r="J263" s="14" t="str">
        <f t="shared" si="21"/>
        <v>Jul</v>
      </c>
      <c r="K263" s="14">
        <f t="shared" si="23"/>
        <v>2024</v>
      </c>
      <c r="L263" s="14" t="str">
        <f t="shared" si="24"/>
        <v>Cancelled</v>
      </c>
      <c r="M263" s="18" t="str">
        <f t="shared" si="22"/>
        <v>New</v>
      </c>
    </row>
    <row r="264" spans="1:13" ht="15" thickBot="1" x14ac:dyDescent="0.35">
      <c r="A264" s="17">
        <v>50263</v>
      </c>
      <c r="B264" s="14">
        <v>22386</v>
      </c>
      <c r="C264" s="14" t="s">
        <v>29</v>
      </c>
      <c r="D264" s="14">
        <v>18</v>
      </c>
      <c r="E264" s="15">
        <v>45550.65347222222</v>
      </c>
      <c r="F264" s="16">
        <v>2.33</v>
      </c>
      <c r="G264" s="14">
        <v>12696</v>
      </c>
      <c r="H264" s="14" t="s">
        <v>20</v>
      </c>
      <c r="I264" s="16">
        <f t="shared" si="20"/>
        <v>41.94</v>
      </c>
      <c r="J264" s="14" t="str">
        <f t="shared" si="21"/>
        <v>Sep</v>
      </c>
      <c r="K264" s="14">
        <f t="shared" si="23"/>
        <v>2024</v>
      </c>
      <c r="L264" s="14" t="str">
        <f t="shared" si="24"/>
        <v>Completed</v>
      </c>
      <c r="M264" s="18" t="str">
        <f t="shared" si="22"/>
        <v>Wholesale</v>
      </c>
    </row>
    <row r="265" spans="1:13" ht="15" thickBot="1" x14ac:dyDescent="0.35">
      <c r="A265" s="17">
        <v>50264</v>
      </c>
      <c r="B265" s="14" t="s">
        <v>8</v>
      </c>
      <c r="C265" s="14" t="s">
        <v>9</v>
      </c>
      <c r="D265" s="14">
        <v>13</v>
      </c>
      <c r="E265" s="15">
        <v>45357.402083333334</v>
      </c>
      <c r="F265" s="16">
        <v>4.05</v>
      </c>
      <c r="G265" s="14">
        <v>12571</v>
      </c>
      <c r="H265" s="14" t="s">
        <v>18</v>
      </c>
      <c r="I265" s="16">
        <f t="shared" si="20"/>
        <v>52.65</v>
      </c>
      <c r="J265" s="14" t="str">
        <f t="shared" si="21"/>
        <v>Mar</v>
      </c>
      <c r="K265" s="14">
        <f t="shared" si="23"/>
        <v>2024</v>
      </c>
      <c r="L265" s="14" t="str">
        <f t="shared" si="24"/>
        <v>Completed</v>
      </c>
      <c r="M265" s="18" t="str">
        <f t="shared" si="22"/>
        <v>New</v>
      </c>
    </row>
    <row r="266" spans="1:13" ht="15" thickBot="1" x14ac:dyDescent="0.35">
      <c r="A266" s="17">
        <v>50265</v>
      </c>
      <c r="B266" s="14">
        <v>84879</v>
      </c>
      <c r="C266" s="14" t="s">
        <v>45</v>
      </c>
      <c r="D266" s="14">
        <v>13</v>
      </c>
      <c r="E266" s="15">
        <v>45393.695138888892</v>
      </c>
      <c r="F266" s="16">
        <v>1.46</v>
      </c>
      <c r="G266" s="14">
        <v>12140</v>
      </c>
      <c r="H266" s="14" t="s">
        <v>18</v>
      </c>
      <c r="I266" s="16">
        <f t="shared" si="20"/>
        <v>18.98</v>
      </c>
      <c r="J266" s="14" t="str">
        <f t="shared" si="21"/>
        <v>Apr</v>
      </c>
      <c r="K266" s="14">
        <f t="shared" si="23"/>
        <v>2024</v>
      </c>
      <c r="L266" s="14" t="str">
        <f t="shared" si="24"/>
        <v>Completed</v>
      </c>
      <c r="M266" s="18" t="str">
        <f t="shared" si="22"/>
        <v>Returning</v>
      </c>
    </row>
    <row r="267" spans="1:13" ht="15" thickBot="1" x14ac:dyDescent="0.35">
      <c r="A267" s="17">
        <v>50266</v>
      </c>
      <c r="B267" s="14">
        <v>23203</v>
      </c>
      <c r="C267" s="14" t="s">
        <v>30</v>
      </c>
      <c r="D267" s="14">
        <v>5</v>
      </c>
      <c r="E267" s="15">
        <v>45557.657638888886</v>
      </c>
      <c r="F267" s="16">
        <v>2.14</v>
      </c>
      <c r="G267" s="14">
        <v>12335</v>
      </c>
      <c r="H267" s="14" t="s">
        <v>20</v>
      </c>
      <c r="I267" s="16">
        <f t="shared" si="20"/>
        <v>10.700000000000001</v>
      </c>
      <c r="J267" s="14" t="str">
        <f t="shared" si="21"/>
        <v>Sep</v>
      </c>
      <c r="K267" s="14">
        <f t="shared" si="23"/>
        <v>2024</v>
      </c>
      <c r="L267" s="14" t="str">
        <f t="shared" si="24"/>
        <v>Completed</v>
      </c>
      <c r="M267" s="18" t="str">
        <f t="shared" si="22"/>
        <v>New</v>
      </c>
    </row>
    <row r="268" spans="1:13" ht="15" thickBot="1" x14ac:dyDescent="0.35">
      <c r="A268" s="17">
        <v>50267</v>
      </c>
      <c r="B268" s="14">
        <v>22086</v>
      </c>
      <c r="C268" s="14" t="s">
        <v>41</v>
      </c>
      <c r="D268" s="14">
        <v>20</v>
      </c>
      <c r="E268" s="15">
        <v>45375.612500000003</v>
      </c>
      <c r="F268" s="16">
        <v>2.82</v>
      </c>
      <c r="G268" s="14">
        <v>12344</v>
      </c>
      <c r="H268" s="14" t="s">
        <v>10</v>
      </c>
      <c r="I268" s="16">
        <f t="shared" si="20"/>
        <v>56.4</v>
      </c>
      <c r="J268" s="14" t="str">
        <f t="shared" si="21"/>
        <v>Mar</v>
      </c>
      <c r="K268" s="14">
        <f t="shared" si="23"/>
        <v>2024</v>
      </c>
      <c r="L268" s="14" t="str">
        <f t="shared" si="24"/>
        <v>Completed</v>
      </c>
      <c r="M268" s="18" t="str">
        <f t="shared" si="22"/>
        <v>Returning</v>
      </c>
    </row>
    <row r="269" spans="1:13" ht="15" thickBot="1" x14ac:dyDescent="0.35">
      <c r="A269" s="17">
        <v>50268</v>
      </c>
      <c r="B269" s="14" t="s">
        <v>33</v>
      </c>
      <c r="C269" s="14" t="s">
        <v>34</v>
      </c>
      <c r="D269" s="14">
        <v>23</v>
      </c>
      <c r="E269" s="15">
        <v>45564.681250000001</v>
      </c>
      <c r="F269" s="16">
        <v>18.29</v>
      </c>
      <c r="G269" s="14">
        <v>12017</v>
      </c>
      <c r="H269" s="14" t="s">
        <v>18</v>
      </c>
      <c r="I269" s="16">
        <f t="shared" si="20"/>
        <v>420.66999999999996</v>
      </c>
      <c r="J269" s="14" t="str">
        <f t="shared" si="21"/>
        <v>Sep</v>
      </c>
      <c r="K269" s="14">
        <f t="shared" si="23"/>
        <v>2024</v>
      </c>
      <c r="L269" s="14" t="str">
        <f t="shared" si="24"/>
        <v>Completed</v>
      </c>
      <c r="M269" s="18" t="str">
        <f t="shared" si="22"/>
        <v>New</v>
      </c>
    </row>
    <row r="270" spans="1:13" ht="15" thickBot="1" x14ac:dyDescent="0.35">
      <c r="A270" s="17">
        <v>50269</v>
      </c>
      <c r="B270" s="14">
        <v>22086</v>
      </c>
      <c r="C270" s="14" t="s">
        <v>41</v>
      </c>
      <c r="D270" s="14">
        <v>14</v>
      </c>
      <c r="E270" s="15">
        <v>45636.411111111112</v>
      </c>
      <c r="F270" s="16">
        <v>3.33</v>
      </c>
      <c r="G270" s="14">
        <v>12742</v>
      </c>
      <c r="H270" s="14" t="s">
        <v>14</v>
      </c>
      <c r="I270" s="16">
        <f t="shared" si="20"/>
        <v>46.620000000000005</v>
      </c>
      <c r="J270" s="14" t="str">
        <f t="shared" si="21"/>
        <v>Dec</v>
      </c>
      <c r="K270" s="14">
        <f t="shared" si="23"/>
        <v>2024</v>
      </c>
      <c r="L270" s="14" t="str">
        <f t="shared" si="24"/>
        <v>Completed</v>
      </c>
      <c r="M270" s="18" t="str">
        <f t="shared" si="22"/>
        <v>Returning</v>
      </c>
    </row>
    <row r="271" spans="1:13" ht="15" thickBot="1" x14ac:dyDescent="0.35">
      <c r="A271" s="17">
        <v>50270</v>
      </c>
      <c r="B271" s="14">
        <v>84991</v>
      </c>
      <c r="C271" s="14" t="s">
        <v>25</v>
      </c>
      <c r="D271" s="14">
        <v>21</v>
      </c>
      <c r="E271" s="15">
        <v>45534.521527777775</v>
      </c>
      <c r="F271" s="16">
        <v>0.62</v>
      </c>
      <c r="G271" s="14">
        <v>12591</v>
      </c>
      <c r="H271" s="14" t="s">
        <v>37</v>
      </c>
      <c r="I271" s="16">
        <f t="shared" si="20"/>
        <v>13.02</v>
      </c>
      <c r="J271" s="14" t="str">
        <f t="shared" si="21"/>
        <v>Aug</v>
      </c>
      <c r="K271" s="14">
        <f t="shared" si="23"/>
        <v>2024</v>
      </c>
      <c r="L271" s="14" t="str">
        <f t="shared" si="24"/>
        <v>Completed</v>
      </c>
      <c r="M271" s="18" t="str">
        <f t="shared" si="22"/>
        <v>Wholesale</v>
      </c>
    </row>
    <row r="272" spans="1:13" ht="15" thickBot="1" x14ac:dyDescent="0.35">
      <c r="A272" s="17">
        <v>50271</v>
      </c>
      <c r="B272" s="14">
        <v>71053</v>
      </c>
      <c r="C272" s="14" t="s">
        <v>38</v>
      </c>
      <c r="D272" s="14">
        <v>6</v>
      </c>
      <c r="E272" s="15">
        <v>45590.674305555556</v>
      </c>
      <c r="F272" s="16">
        <v>3.74</v>
      </c>
      <c r="G272" s="14">
        <v>12793</v>
      </c>
      <c r="H272" s="14" t="s">
        <v>26</v>
      </c>
      <c r="I272" s="16">
        <f t="shared" si="20"/>
        <v>22.44</v>
      </c>
      <c r="J272" s="14" t="str">
        <f t="shared" si="21"/>
        <v>Oct</v>
      </c>
      <c r="K272" s="14">
        <f t="shared" si="23"/>
        <v>2024</v>
      </c>
      <c r="L272" s="14" t="str">
        <f t="shared" si="24"/>
        <v>Completed</v>
      </c>
      <c r="M272" s="18" t="str">
        <f t="shared" si="22"/>
        <v>New</v>
      </c>
    </row>
    <row r="273" spans="1:13" ht="15" thickBot="1" x14ac:dyDescent="0.35">
      <c r="A273" s="17">
        <v>50272</v>
      </c>
      <c r="B273" s="14">
        <v>84879</v>
      </c>
      <c r="C273" s="14" t="s">
        <v>45</v>
      </c>
      <c r="D273" s="14">
        <v>2</v>
      </c>
      <c r="E273" s="15">
        <v>45640.505555555559</v>
      </c>
      <c r="F273" s="16">
        <v>1.85</v>
      </c>
      <c r="G273" s="14">
        <v>12195</v>
      </c>
      <c r="H273" s="14" t="s">
        <v>14</v>
      </c>
      <c r="I273" s="16">
        <f t="shared" si="20"/>
        <v>3.7</v>
      </c>
      <c r="J273" s="14" t="str">
        <f t="shared" si="21"/>
        <v>Dec</v>
      </c>
      <c r="K273" s="14">
        <f t="shared" si="23"/>
        <v>2024</v>
      </c>
      <c r="L273" s="14" t="str">
        <f t="shared" si="24"/>
        <v>Completed</v>
      </c>
      <c r="M273" s="18" t="str">
        <f t="shared" si="22"/>
        <v>Wholesale</v>
      </c>
    </row>
    <row r="274" spans="1:13" ht="15" thickBot="1" x14ac:dyDescent="0.35">
      <c r="A274" s="17">
        <v>50273</v>
      </c>
      <c r="B274" s="14">
        <v>20725</v>
      </c>
      <c r="C274" s="14" t="s">
        <v>19</v>
      </c>
      <c r="D274" s="14">
        <v>5</v>
      </c>
      <c r="E274" s="15">
        <v>45452.630555555559</v>
      </c>
      <c r="F274" s="16">
        <v>1.52</v>
      </c>
      <c r="G274" s="14">
        <v>12513</v>
      </c>
      <c r="H274" s="14" t="s">
        <v>20</v>
      </c>
      <c r="I274" s="16">
        <f t="shared" si="20"/>
        <v>7.6</v>
      </c>
      <c r="J274" s="14" t="str">
        <f t="shared" si="21"/>
        <v>Jun</v>
      </c>
      <c r="K274" s="14">
        <f t="shared" si="23"/>
        <v>2024</v>
      </c>
      <c r="L274" s="14" t="str">
        <f t="shared" si="24"/>
        <v>Completed</v>
      </c>
      <c r="M274" s="18" t="str">
        <f t="shared" si="22"/>
        <v>Wholesale</v>
      </c>
    </row>
    <row r="275" spans="1:13" ht="15" thickBot="1" x14ac:dyDescent="0.35">
      <c r="A275" s="17">
        <v>50274</v>
      </c>
      <c r="B275" s="14">
        <v>23203</v>
      </c>
      <c r="C275" s="14" t="s">
        <v>30</v>
      </c>
      <c r="D275" s="14">
        <v>17</v>
      </c>
      <c r="E275" s="15">
        <v>45323.431250000001</v>
      </c>
      <c r="F275" s="16">
        <v>2</v>
      </c>
      <c r="G275" s="14">
        <v>12678</v>
      </c>
      <c r="H275" s="14" t="s">
        <v>28</v>
      </c>
      <c r="I275" s="16">
        <f t="shared" si="20"/>
        <v>34</v>
      </c>
      <c r="J275" s="14" t="str">
        <f t="shared" si="21"/>
        <v>Feb</v>
      </c>
      <c r="K275" s="14">
        <f t="shared" si="23"/>
        <v>2024</v>
      </c>
      <c r="L275" s="14" t="str">
        <f t="shared" si="24"/>
        <v>Completed</v>
      </c>
      <c r="M275" s="18" t="str">
        <f t="shared" si="22"/>
        <v>Wholesale</v>
      </c>
    </row>
    <row r="276" spans="1:13" ht="15" thickBot="1" x14ac:dyDescent="0.35">
      <c r="A276" s="17">
        <v>50275</v>
      </c>
      <c r="B276" s="14" t="s">
        <v>33</v>
      </c>
      <c r="C276" s="14" t="s">
        <v>34</v>
      </c>
      <c r="D276" s="14">
        <v>6</v>
      </c>
      <c r="E276" s="15">
        <v>45484.556250000001</v>
      </c>
      <c r="F276" s="16">
        <v>18.66</v>
      </c>
      <c r="G276" s="14">
        <v>12559</v>
      </c>
      <c r="H276" s="14" t="s">
        <v>18</v>
      </c>
      <c r="I276" s="16">
        <f t="shared" si="20"/>
        <v>111.96000000000001</v>
      </c>
      <c r="J276" s="14" t="str">
        <f t="shared" si="21"/>
        <v>Jul</v>
      </c>
      <c r="K276" s="14">
        <f t="shared" si="23"/>
        <v>2024</v>
      </c>
      <c r="L276" s="14" t="str">
        <f t="shared" si="24"/>
        <v>Completed</v>
      </c>
      <c r="M276" s="18" t="str">
        <f t="shared" si="22"/>
        <v>New</v>
      </c>
    </row>
    <row r="277" spans="1:13" ht="15" thickBot="1" x14ac:dyDescent="0.35">
      <c r="A277" s="17">
        <v>50276</v>
      </c>
      <c r="B277" s="14">
        <v>47566</v>
      </c>
      <c r="C277" s="14" t="s">
        <v>27</v>
      </c>
      <c r="D277" s="14">
        <v>7</v>
      </c>
      <c r="E277" s="15">
        <v>45604.677083333336</v>
      </c>
      <c r="F277" s="16">
        <v>4.6900000000000004</v>
      </c>
      <c r="G277" s="14">
        <v>12305</v>
      </c>
      <c r="H277" s="14" t="s">
        <v>37</v>
      </c>
      <c r="I277" s="16">
        <f t="shared" si="20"/>
        <v>32.830000000000005</v>
      </c>
      <c r="J277" s="14" t="str">
        <f t="shared" si="21"/>
        <v>Nov</v>
      </c>
      <c r="K277" s="14">
        <f t="shared" si="23"/>
        <v>2024</v>
      </c>
      <c r="L277" s="14" t="str">
        <f t="shared" si="24"/>
        <v>Completed</v>
      </c>
      <c r="M277" s="18" t="str">
        <f t="shared" si="22"/>
        <v>New</v>
      </c>
    </row>
    <row r="278" spans="1:13" ht="15" thickBot="1" x14ac:dyDescent="0.35">
      <c r="A278" s="17">
        <v>50277</v>
      </c>
      <c r="B278" s="14">
        <v>22960</v>
      </c>
      <c r="C278" s="14" t="s">
        <v>49</v>
      </c>
      <c r="D278" s="14">
        <v>23</v>
      </c>
      <c r="E278" s="15">
        <v>45439.480555555558</v>
      </c>
      <c r="F278" s="16">
        <v>4.08</v>
      </c>
      <c r="G278" s="14">
        <v>12357</v>
      </c>
      <c r="H278" s="14" t="s">
        <v>10</v>
      </c>
      <c r="I278" s="16">
        <f t="shared" si="20"/>
        <v>93.84</v>
      </c>
      <c r="J278" s="14" t="str">
        <f t="shared" si="21"/>
        <v>May</v>
      </c>
      <c r="K278" s="14">
        <f t="shared" si="23"/>
        <v>2024</v>
      </c>
      <c r="L278" s="14" t="str">
        <f t="shared" si="24"/>
        <v>Completed</v>
      </c>
      <c r="M278" s="18" t="str">
        <f t="shared" si="22"/>
        <v>Wholesale</v>
      </c>
    </row>
    <row r="279" spans="1:13" ht="15" thickBot="1" x14ac:dyDescent="0.35">
      <c r="A279" s="17">
        <v>50278</v>
      </c>
      <c r="B279" s="14">
        <v>47566</v>
      </c>
      <c r="C279" s="14" t="s">
        <v>27</v>
      </c>
      <c r="D279" s="14">
        <v>19</v>
      </c>
      <c r="E279" s="15">
        <v>45439.419444444444</v>
      </c>
      <c r="F279" s="16">
        <v>4.87</v>
      </c>
      <c r="G279" s="14">
        <v>12404</v>
      </c>
      <c r="H279" s="14" t="s">
        <v>18</v>
      </c>
      <c r="I279" s="16">
        <f t="shared" si="20"/>
        <v>92.53</v>
      </c>
      <c r="J279" s="14" t="str">
        <f t="shared" si="21"/>
        <v>May</v>
      </c>
      <c r="K279" s="14">
        <f t="shared" si="23"/>
        <v>2024</v>
      </c>
      <c r="L279" s="14" t="str">
        <f t="shared" si="24"/>
        <v>Completed</v>
      </c>
      <c r="M279" s="18" t="str">
        <f t="shared" si="22"/>
        <v>Returning</v>
      </c>
    </row>
    <row r="280" spans="1:13" ht="15" thickBot="1" x14ac:dyDescent="0.35">
      <c r="A280" s="17">
        <v>50279</v>
      </c>
      <c r="B280" s="14">
        <v>84879</v>
      </c>
      <c r="C280" s="14" t="s">
        <v>45</v>
      </c>
      <c r="D280" s="14">
        <v>10</v>
      </c>
      <c r="E280" s="15">
        <v>45440.363194444442</v>
      </c>
      <c r="F280" s="16">
        <v>1.48</v>
      </c>
      <c r="G280" s="14">
        <v>12946</v>
      </c>
      <c r="H280" s="14" t="s">
        <v>28</v>
      </c>
      <c r="I280" s="16">
        <f t="shared" si="20"/>
        <v>14.8</v>
      </c>
      <c r="J280" s="14" t="str">
        <f t="shared" si="21"/>
        <v>May</v>
      </c>
      <c r="K280" s="14">
        <f t="shared" si="23"/>
        <v>2024</v>
      </c>
      <c r="L280" s="14" t="str">
        <f t="shared" si="24"/>
        <v>Completed</v>
      </c>
      <c r="M280" s="18" t="str">
        <f t="shared" si="22"/>
        <v>Returning</v>
      </c>
    </row>
    <row r="281" spans="1:13" ht="15" thickBot="1" x14ac:dyDescent="0.35">
      <c r="A281" s="17">
        <v>50280</v>
      </c>
      <c r="B281" s="14">
        <v>47566</v>
      </c>
      <c r="C281" s="14" t="s">
        <v>27</v>
      </c>
      <c r="D281" s="14">
        <v>7</v>
      </c>
      <c r="E281" s="15">
        <v>45537.48541666667</v>
      </c>
      <c r="F281" s="16">
        <v>4.68</v>
      </c>
      <c r="G281" s="14">
        <v>12575</v>
      </c>
      <c r="H281" s="14" t="s">
        <v>22</v>
      </c>
      <c r="I281" s="16">
        <f t="shared" si="20"/>
        <v>32.76</v>
      </c>
      <c r="J281" s="14" t="str">
        <f t="shared" si="21"/>
        <v>Sep</v>
      </c>
      <c r="K281" s="14">
        <f t="shared" si="23"/>
        <v>2024</v>
      </c>
      <c r="L281" s="14" t="str">
        <f t="shared" si="24"/>
        <v>Completed</v>
      </c>
      <c r="M281" s="18" t="str">
        <f t="shared" si="22"/>
        <v>New</v>
      </c>
    </row>
    <row r="282" spans="1:13" ht="15" thickBot="1" x14ac:dyDescent="0.35">
      <c r="A282" s="17">
        <v>50281</v>
      </c>
      <c r="B282" s="14">
        <v>84879</v>
      </c>
      <c r="C282" s="14" t="s">
        <v>45</v>
      </c>
      <c r="D282" s="14">
        <v>8</v>
      </c>
      <c r="E282" s="15">
        <v>45347.75</v>
      </c>
      <c r="F282" s="16">
        <v>1.83</v>
      </c>
      <c r="G282" s="14">
        <v>12543</v>
      </c>
      <c r="H282" s="14" t="s">
        <v>37</v>
      </c>
      <c r="I282" s="16">
        <f t="shared" si="20"/>
        <v>14.64</v>
      </c>
      <c r="J282" s="14" t="str">
        <f t="shared" si="21"/>
        <v>Feb</v>
      </c>
      <c r="K282" s="14">
        <f t="shared" si="23"/>
        <v>2024</v>
      </c>
      <c r="L282" s="14" t="str">
        <f t="shared" si="24"/>
        <v>Completed</v>
      </c>
      <c r="M282" s="18" t="str">
        <f t="shared" si="22"/>
        <v>Wholesale</v>
      </c>
    </row>
    <row r="283" spans="1:13" ht="15" thickBot="1" x14ac:dyDescent="0.35">
      <c r="A283" s="17">
        <v>50282</v>
      </c>
      <c r="B283" s="14">
        <v>22423</v>
      </c>
      <c r="C283" s="14" t="s">
        <v>36</v>
      </c>
      <c r="D283" s="14">
        <v>14</v>
      </c>
      <c r="E283" s="15">
        <v>45318.404166666667</v>
      </c>
      <c r="F283" s="16">
        <v>12.95</v>
      </c>
      <c r="G283" s="14">
        <v>12697</v>
      </c>
      <c r="H283" s="14" t="s">
        <v>23</v>
      </c>
      <c r="I283" s="16">
        <f t="shared" si="20"/>
        <v>181.29999999999998</v>
      </c>
      <c r="J283" s="14" t="str">
        <f t="shared" si="21"/>
        <v>Jan</v>
      </c>
      <c r="K283" s="14">
        <f t="shared" si="23"/>
        <v>2024</v>
      </c>
      <c r="L283" s="14" t="str">
        <f t="shared" si="24"/>
        <v>Completed</v>
      </c>
      <c r="M283" s="18" t="str">
        <f t="shared" si="22"/>
        <v>New</v>
      </c>
    </row>
    <row r="284" spans="1:13" ht="15" thickBot="1" x14ac:dyDescent="0.35">
      <c r="A284" s="17">
        <v>50283</v>
      </c>
      <c r="B284" s="14" t="s">
        <v>31</v>
      </c>
      <c r="C284" s="14" t="s">
        <v>32</v>
      </c>
      <c r="D284" s="14">
        <v>14</v>
      </c>
      <c r="E284" s="15">
        <v>45573.445138888892</v>
      </c>
      <c r="F284" s="16">
        <v>2.95</v>
      </c>
      <c r="G284" s="14">
        <v>12487</v>
      </c>
      <c r="H284" s="14" t="s">
        <v>28</v>
      </c>
      <c r="I284" s="16">
        <f t="shared" si="20"/>
        <v>41.300000000000004</v>
      </c>
      <c r="J284" s="14" t="str">
        <f t="shared" si="21"/>
        <v>Oct</v>
      </c>
      <c r="K284" s="14">
        <f t="shared" si="23"/>
        <v>2024</v>
      </c>
      <c r="L284" s="14" t="str">
        <f t="shared" si="24"/>
        <v>Completed</v>
      </c>
      <c r="M284" s="18" t="str">
        <f t="shared" si="22"/>
        <v>New</v>
      </c>
    </row>
    <row r="285" spans="1:13" ht="15" thickBot="1" x14ac:dyDescent="0.35">
      <c r="A285" s="17">
        <v>50284</v>
      </c>
      <c r="B285" s="14">
        <v>22727</v>
      </c>
      <c r="C285" s="14" t="s">
        <v>46</v>
      </c>
      <c r="D285" s="14">
        <v>10</v>
      </c>
      <c r="E285" s="15">
        <v>45439.561111111114</v>
      </c>
      <c r="F285" s="16">
        <v>4.38</v>
      </c>
      <c r="G285" s="14">
        <v>12091</v>
      </c>
      <c r="H285" s="14" t="s">
        <v>20</v>
      </c>
      <c r="I285" s="16">
        <f t="shared" si="20"/>
        <v>43.8</v>
      </c>
      <c r="J285" s="14" t="str">
        <f t="shared" si="21"/>
        <v>May</v>
      </c>
      <c r="K285" s="14">
        <f t="shared" si="23"/>
        <v>2024</v>
      </c>
      <c r="L285" s="14" t="str">
        <f t="shared" si="24"/>
        <v>Completed</v>
      </c>
      <c r="M285" s="18" t="str">
        <f t="shared" si="22"/>
        <v>New</v>
      </c>
    </row>
    <row r="286" spans="1:13" ht="15" thickBot="1" x14ac:dyDescent="0.35">
      <c r="A286" s="17">
        <v>50285</v>
      </c>
      <c r="B286" s="14">
        <v>22423</v>
      </c>
      <c r="C286" s="14" t="s">
        <v>36</v>
      </c>
      <c r="D286" s="14">
        <v>6</v>
      </c>
      <c r="E286" s="15">
        <v>45565.359722222223</v>
      </c>
      <c r="F286" s="16">
        <v>14.58</v>
      </c>
      <c r="G286" s="14">
        <v>12956</v>
      </c>
      <c r="H286" s="14" t="s">
        <v>14</v>
      </c>
      <c r="I286" s="16">
        <f t="shared" si="20"/>
        <v>87.48</v>
      </c>
      <c r="J286" s="14" t="str">
        <f t="shared" si="21"/>
        <v>Sep</v>
      </c>
      <c r="K286" s="14">
        <f t="shared" si="23"/>
        <v>2024</v>
      </c>
      <c r="L286" s="14" t="str">
        <f t="shared" si="24"/>
        <v>Completed</v>
      </c>
      <c r="M286" s="18" t="str">
        <f t="shared" si="22"/>
        <v>Returning</v>
      </c>
    </row>
    <row r="287" spans="1:13" ht="15" thickBot="1" x14ac:dyDescent="0.35">
      <c r="A287" s="17">
        <v>50286</v>
      </c>
      <c r="B287" s="14">
        <v>22386</v>
      </c>
      <c r="C287" s="14" t="s">
        <v>29</v>
      </c>
      <c r="D287" s="14">
        <v>24</v>
      </c>
      <c r="E287" s="15">
        <v>45545.465277777781</v>
      </c>
      <c r="F287" s="16">
        <v>2.29</v>
      </c>
      <c r="G287" s="14">
        <v>12897</v>
      </c>
      <c r="H287" s="14" t="s">
        <v>14</v>
      </c>
      <c r="I287" s="16">
        <f t="shared" si="20"/>
        <v>54.96</v>
      </c>
      <c r="J287" s="14" t="str">
        <f t="shared" si="21"/>
        <v>Sep</v>
      </c>
      <c r="K287" s="14">
        <f t="shared" si="23"/>
        <v>2024</v>
      </c>
      <c r="L287" s="14" t="str">
        <f t="shared" si="24"/>
        <v>Completed</v>
      </c>
      <c r="M287" s="18" t="str">
        <f t="shared" si="22"/>
        <v>Wholesale</v>
      </c>
    </row>
    <row r="288" spans="1:13" ht="15" thickBot="1" x14ac:dyDescent="0.35">
      <c r="A288" s="17">
        <v>50287</v>
      </c>
      <c r="B288" s="14" t="s">
        <v>31</v>
      </c>
      <c r="C288" s="14" t="s">
        <v>32</v>
      </c>
      <c r="D288" s="14">
        <v>20</v>
      </c>
      <c r="E288" s="15">
        <v>45444.736805555556</v>
      </c>
      <c r="F288" s="16">
        <v>3.04</v>
      </c>
      <c r="G288" s="14">
        <v>12291</v>
      </c>
      <c r="H288" s="14" t="s">
        <v>28</v>
      </c>
      <c r="I288" s="16">
        <f t="shared" si="20"/>
        <v>60.8</v>
      </c>
      <c r="J288" s="14" t="str">
        <f t="shared" si="21"/>
        <v>Jun</v>
      </c>
      <c r="K288" s="14">
        <f t="shared" si="23"/>
        <v>2024</v>
      </c>
      <c r="L288" s="14" t="str">
        <f t="shared" si="24"/>
        <v>Completed</v>
      </c>
      <c r="M288" s="18" t="str">
        <f t="shared" si="22"/>
        <v>Wholesale</v>
      </c>
    </row>
    <row r="289" spans="1:13" ht="15" thickBot="1" x14ac:dyDescent="0.35">
      <c r="A289" s="17">
        <v>50288</v>
      </c>
      <c r="B289" s="14" t="s">
        <v>15</v>
      </c>
      <c r="C289" s="14" t="s">
        <v>16</v>
      </c>
      <c r="D289" s="14">
        <v>5</v>
      </c>
      <c r="E289" s="15">
        <v>45560.684027777781</v>
      </c>
      <c r="F289" s="16">
        <v>2.99</v>
      </c>
      <c r="G289" s="14">
        <v>12197</v>
      </c>
      <c r="H289" s="14" t="s">
        <v>24</v>
      </c>
      <c r="I289" s="16">
        <f t="shared" si="20"/>
        <v>14.950000000000001</v>
      </c>
      <c r="J289" s="14" t="str">
        <f t="shared" si="21"/>
        <v>Sep</v>
      </c>
      <c r="K289" s="14">
        <f t="shared" si="23"/>
        <v>2024</v>
      </c>
      <c r="L289" s="14" t="str">
        <f t="shared" si="24"/>
        <v>Completed</v>
      </c>
      <c r="M289" s="18" t="str">
        <f t="shared" si="22"/>
        <v>New</v>
      </c>
    </row>
    <row r="290" spans="1:13" ht="15" thickBot="1" x14ac:dyDescent="0.35">
      <c r="A290" s="17">
        <v>50289</v>
      </c>
      <c r="B290" s="14">
        <v>22086</v>
      </c>
      <c r="C290" s="14" t="s">
        <v>41</v>
      </c>
      <c r="D290" s="14">
        <v>21</v>
      </c>
      <c r="E290" s="15">
        <v>45375.65902777778</v>
      </c>
      <c r="F290" s="16">
        <v>2.7</v>
      </c>
      <c r="G290" s="14">
        <v>12754</v>
      </c>
      <c r="H290" s="14" t="s">
        <v>18</v>
      </c>
      <c r="I290" s="16">
        <f t="shared" si="20"/>
        <v>56.7</v>
      </c>
      <c r="J290" s="14" t="str">
        <f t="shared" si="21"/>
        <v>Mar</v>
      </c>
      <c r="K290" s="14">
        <f t="shared" si="23"/>
        <v>2024</v>
      </c>
      <c r="L290" s="14" t="str">
        <f t="shared" si="24"/>
        <v>Completed</v>
      </c>
      <c r="M290" s="18" t="str">
        <f t="shared" si="22"/>
        <v>Returning</v>
      </c>
    </row>
    <row r="291" spans="1:13" ht="15" thickBot="1" x14ac:dyDescent="0.35">
      <c r="A291" s="17">
        <v>50290</v>
      </c>
      <c r="B291" s="14">
        <v>22960</v>
      </c>
      <c r="C291" s="14" t="s">
        <v>49</v>
      </c>
      <c r="D291" s="14">
        <v>6</v>
      </c>
      <c r="E291" s="15">
        <v>45582.470138888886</v>
      </c>
      <c r="F291" s="16">
        <v>4.5599999999999996</v>
      </c>
      <c r="G291" s="14">
        <v>12415</v>
      </c>
      <c r="H291" s="14" t="s">
        <v>26</v>
      </c>
      <c r="I291" s="16">
        <f t="shared" si="20"/>
        <v>27.36</v>
      </c>
      <c r="J291" s="14" t="str">
        <f t="shared" si="21"/>
        <v>Oct</v>
      </c>
      <c r="K291" s="14">
        <f t="shared" si="23"/>
        <v>2024</v>
      </c>
      <c r="L291" s="14" t="str">
        <f t="shared" si="24"/>
        <v>Completed</v>
      </c>
      <c r="M291" s="18" t="str">
        <f t="shared" si="22"/>
        <v>New</v>
      </c>
    </row>
    <row r="292" spans="1:13" ht="15" thickBot="1" x14ac:dyDescent="0.35">
      <c r="A292" s="17">
        <v>50291</v>
      </c>
      <c r="B292" s="14" t="s">
        <v>33</v>
      </c>
      <c r="C292" s="14" t="s">
        <v>34</v>
      </c>
      <c r="D292" s="14">
        <v>13</v>
      </c>
      <c r="E292" s="15">
        <v>45459.394444444442</v>
      </c>
      <c r="F292" s="16">
        <v>16.46</v>
      </c>
      <c r="G292" s="14">
        <v>12143</v>
      </c>
      <c r="H292" s="14" t="s">
        <v>28</v>
      </c>
      <c r="I292" s="16">
        <f t="shared" si="20"/>
        <v>213.98000000000002</v>
      </c>
      <c r="J292" s="14" t="str">
        <f t="shared" si="21"/>
        <v>Jun</v>
      </c>
      <c r="K292" s="14">
        <f t="shared" si="23"/>
        <v>2024</v>
      </c>
      <c r="L292" s="14" t="str">
        <f t="shared" si="24"/>
        <v>Completed</v>
      </c>
      <c r="M292" s="18" t="str">
        <f t="shared" si="22"/>
        <v>New</v>
      </c>
    </row>
    <row r="293" spans="1:13" ht="15" thickBot="1" x14ac:dyDescent="0.35">
      <c r="A293" s="17">
        <v>50292</v>
      </c>
      <c r="B293" s="14">
        <v>22086</v>
      </c>
      <c r="C293" s="14" t="s">
        <v>41</v>
      </c>
      <c r="D293" s="14">
        <v>9</v>
      </c>
      <c r="E293" s="15">
        <v>45419.337500000001</v>
      </c>
      <c r="F293" s="16">
        <v>2.97</v>
      </c>
      <c r="G293" s="14">
        <v>12273</v>
      </c>
      <c r="H293" s="14" t="s">
        <v>18</v>
      </c>
      <c r="I293" s="16">
        <f t="shared" si="20"/>
        <v>26.73</v>
      </c>
      <c r="J293" s="14" t="str">
        <f t="shared" si="21"/>
        <v>May</v>
      </c>
      <c r="K293" s="14">
        <f t="shared" si="23"/>
        <v>2024</v>
      </c>
      <c r="L293" s="14" t="str">
        <f t="shared" si="24"/>
        <v>Completed</v>
      </c>
      <c r="M293" s="18" t="str">
        <f t="shared" si="22"/>
        <v>Wholesale</v>
      </c>
    </row>
    <row r="294" spans="1:13" ht="15" thickBot="1" x14ac:dyDescent="0.35">
      <c r="A294" s="17">
        <v>50293</v>
      </c>
      <c r="B294" s="14">
        <v>22960</v>
      </c>
      <c r="C294" s="14" t="s">
        <v>49</v>
      </c>
      <c r="D294" s="14">
        <v>1</v>
      </c>
      <c r="E294" s="15">
        <v>45590.740277777775</v>
      </c>
      <c r="F294" s="16">
        <v>4.1500000000000004</v>
      </c>
      <c r="G294" s="14">
        <v>12241</v>
      </c>
      <c r="H294" s="14" t="s">
        <v>14</v>
      </c>
      <c r="I294" s="16">
        <f t="shared" si="20"/>
        <v>4.1500000000000004</v>
      </c>
      <c r="J294" s="14" t="str">
        <f t="shared" si="21"/>
        <v>Oct</v>
      </c>
      <c r="K294" s="14">
        <f t="shared" si="23"/>
        <v>2024</v>
      </c>
      <c r="L294" s="14" t="str">
        <f t="shared" si="24"/>
        <v>Completed</v>
      </c>
      <c r="M294" s="18" t="str">
        <f t="shared" si="22"/>
        <v>New</v>
      </c>
    </row>
    <row r="295" spans="1:13" ht="15" thickBot="1" x14ac:dyDescent="0.35">
      <c r="A295" s="17">
        <v>50294</v>
      </c>
      <c r="B295" s="14" t="s">
        <v>8</v>
      </c>
      <c r="C295" s="14" t="s">
        <v>9</v>
      </c>
      <c r="D295" s="14">
        <v>6</v>
      </c>
      <c r="E295" s="15">
        <v>45530.551388888889</v>
      </c>
      <c r="F295" s="16">
        <v>3.48</v>
      </c>
      <c r="G295" s="14">
        <v>12916</v>
      </c>
      <c r="H295" s="14" t="s">
        <v>22</v>
      </c>
      <c r="I295" s="16">
        <f t="shared" si="20"/>
        <v>20.88</v>
      </c>
      <c r="J295" s="14" t="str">
        <f t="shared" si="21"/>
        <v>Aug</v>
      </c>
      <c r="K295" s="14">
        <f t="shared" si="23"/>
        <v>2024</v>
      </c>
      <c r="L295" s="14" t="str">
        <f t="shared" si="24"/>
        <v>Completed</v>
      </c>
      <c r="M295" s="18" t="str">
        <f t="shared" si="22"/>
        <v>Returning</v>
      </c>
    </row>
    <row r="296" spans="1:13" ht="15" thickBot="1" x14ac:dyDescent="0.35">
      <c r="A296" s="17">
        <v>50295</v>
      </c>
      <c r="B296" s="14" t="s">
        <v>8</v>
      </c>
      <c r="C296" s="14" t="s">
        <v>9</v>
      </c>
      <c r="D296" s="14">
        <v>12</v>
      </c>
      <c r="E296" s="15">
        <v>45619.543055555558</v>
      </c>
      <c r="F296" s="16">
        <v>3.14</v>
      </c>
      <c r="G296" s="14">
        <v>12136</v>
      </c>
      <c r="H296" s="14" t="s">
        <v>28</v>
      </c>
      <c r="I296" s="16">
        <f t="shared" si="20"/>
        <v>37.68</v>
      </c>
      <c r="J296" s="14" t="str">
        <f t="shared" si="21"/>
        <v>Nov</v>
      </c>
      <c r="K296" s="14">
        <f t="shared" si="23"/>
        <v>2024</v>
      </c>
      <c r="L296" s="14" t="str">
        <f t="shared" si="24"/>
        <v>Completed</v>
      </c>
      <c r="M296" s="18" t="str">
        <f t="shared" si="22"/>
        <v>Returning</v>
      </c>
    </row>
    <row r="297" spans="1:13" ht="15" thickBot="1" x14ac:dyDescent="0.35">
      <c r="A297" s="17">
        <v>50296</v>
      </c>
      <c r="B297" s="14">
        <v>84879</v>
      </c>
      <c r="C297" s="14" t="s">
        <v>45</v>
      </c>
      <c r="D297" s="14">
        <v>14</v>
      </c>
      <c r="E297" s="15">
        <v>45524.598611111112</v>
      </c>
      <c r="F297" s="16">
        <v>1.98</v>
      </c>
      <c r="G297" s="14">
        <v>12775</v>
      </c>
      <c r="H297" s="14" t="s">
        <v>10</v>
      </c>
      <c r="I297" s="16">
        <f t="shared" si="20"/>
        <v>27.72</v>
      </c>
      <c r="J297" s="14" t="str">
        <f t="shared" si="21"/>
        <v>Aug</v>
      </c>
      <c r="K297" s="14">
        <f t="shared" si="23"/>
        <v>2024</v>
      </c>
      <c r="L297" s="14" t="str">
        <f t="shared" si="24"/>
        <v>Completed</v>
      </c>
      <c r="M297" s="18" t="str">
        <f t="shared" si="22"/>
        <v>New</v>
      </c>
    </row>
    <row r="298" spans="1:13" ht="15" thickBot="1" x14ac:dyDescent="0.35">
      <c r="A298" s="17">
        <v>50297</v>
      </c>
      <c r="B298" s="14">
        <v>22727</v>
      </c>
      <c r="C298" s="14" t="s">
        <v>46</v>
      </c>
      <c r="D298" s="14">
        <v>17</v>
      </c>
      <c r="E298" s="15">
        <v>45418.390972222223</v>
      </c>
      <c r="F298" s="16">
        <v>4.1100000000000003</v>
      </c>
      <c r="G298" s="14">
        <v>12079</v>
      </c>
      <c r="H298" s="14" t="s">
        <v>20</v>
      </c>
      <c r="I298" s="16">
        <f t="shared" si="20"/>
        <v>69.87</v>
      </c>
      <c r="J298" s="14" t="str">
        <f t="shared" si="21"/>
        <v>May</v>
      </c>
      <c r="K298" s="14">
        <f t="shared" si="23"/>
        <v>2024</v>
      </c>
      <c r="L298" s="14" t="str">
        <f t="shared" si="24"/>
        <v>Completed</v>
      </c>
      <c r="M298" s="18" t="str">
        <f t="shared" si="22"/>
        <v>New</v>
      </c>
    </row>
    <row r="299" spans="1:13" ht="15" thickBot="1" x14ac:dyDescent="0.35">
      <c r="A299" s="17">
        <v>50298</v>
      </c>
      <c r="B299" s="14" t="s">
        <v>8</v>
      </c>
      <c r="C299" s="14" t="s">
        <v>9</v>
      </c>
      <c r="D299" s="14">
        <v>17</v>
      </c>
      <c r="E299" s="15">
        <v>45323.722222222219</v>
      </c>
      <c r="F299" s="16">
        <v>3.52</v>
      </c>
      <c r="G299" s="14">
        <v>12168</v>
      </c>
      <c r="H299" s="14" t="s">
        <v>18</v>
      </c>
      <c r="I299" s="16">
        <f t="shared" si="20"/>
        <v>59.84</v>
      </c>
      <c r="J299" s="14" t="str">
        <f t="shared" si="21"/>
        <v>Feb</v>
      </c>
      <c r="K299" s="14">
        <f t="shared" si="23"/>
        <v>2024</v>
      </c>
      <c r="L299" s="14" t="str">
        <f t="shared" si="24"/>
        <v>Completed</v>
      </c>
      <c r="M299" s="18" t="str">
        <f t="shared" si="22"/>
        <v>Wholesale</v>
      </c>
    </row>
    <row r="300" spans="1:13" ht="15" thickBot="1" x14ac:dyDescent="0.35">
      <c r="A300" s="17">
        <v>50299</v>
      </c>
      <c r="B300" s="14" t="s">
        <v>33</v>
      </c>
      <c r="C300" s="14" t="s">
        <v>34</v>
      </c>
      <c r="D300" s="14">
        <v>22</v>
      </c>
      <c r="E300" s="15">
        <v>45518.415972222225</v>
      </c>
      <c r="F300" s="16">
        <v>18.97</v>
      </c>
      <c r="G300" s="14">
        <v>12093</v>
      </c>
      <c r="H300" s="14" t="s">
        <v>10</v>
      </c>
      <c r="I300" s="16">
        <f t="shared" si="20"/>
        <v>417.34</v>
      </c>
      <c r="J300" s="14" t="str">
        <f t="shared" si="21"/>
        <v>Aug</v>
      </c>
      <c r="K300" s="14">
        <f t="shared" si="23"/>
        <v>2024</v>
      </c>
      <c r="L300" s="14" t="str">
        <f t="shared" si="24"/>
        <v>Completed</v>
      </c>
      <c r="M300" s="18" t="str">
        <f t="shared" si="22"/>
        <v>Wholesale</v>
      </c>
    </row>
    <row r="301" spans="1:13" ht="15" thickBot="1" x14ac:dyDescent="0.35">
      <c r="A301" s="17">
        <v>50300</v>
      </c>
      <c r="B301" s="14">
        <v>20725</v>
      </c>
      <c r="C301" s="14" t="s">
        <v>19</v>
      </c>
      <c r="D301" s="14">
        <v>5</v>
      </c>
      <c r="E301" s="15">
        <v>45320.655555555553</v>
      </c>
      <c r="F301" s="16">
        <v>1.67</v>
      </c>
      <c r="G301" s="14">
        <v>12059</v>
      </c>
      <c r="H301" s="14" t="s">
        <v>10</v>
      </c>
      <c r="I301" s="16">
        <f t="shared" si="20"/>
        <v>8.35</v>
      </c>
      <c r="J301" s="14" t="str">
        <f t="shared" si="21"/>
        <v>Jan</v>
      </c>
      <c r="K301" s="14">
        <f t="shared" si="23"/>
        <v>2024</v>
      </c>
      <c r="L301" s="14" t="str">
        <f t="shared" si="24"/>
        <v>Completed</v>
      </c>
      <c r="M301" s="18" t="str">
        <f t="shared" si="22"/>
        <v>New</v>
      </c>
    </row>
    <row r="302" spans="1:13" ht="15" thickBot="1" x14ac:dyDescent="0.35">
      <c r="A302" s="17" t="s">
        <v>68</v>
      </c>
      <c r="B302" s="14">
        <v>20725</v>
      </c>
      <c r="C302" s="14" t="s">
        <v>19</v>
      </c>
      <c r="D302" s="14">
        <v>-5</v>
      </c>
      <c r="E302" s="15">
        <v>45636.552083333336</v>
      </c>
      <c r="F302" s="16">
        <v>1.87</v>
      </c>
      <c r="G302" s="14">
        <v>12763</v>
      </c>
      <c r="H302" s="14" t="s">
        <v>37</v>
      </c>
      <c r="I302" s="16">
        <f t="shared" si="20"/>
        <v>-9.3500000000000014</v>
      </c>
      <c r="J302" s="14" t="str">
        <f t="shared" si="21"/>
        <v>Dec</v>
      </c>
      <c r="K302" s="14">
        <f t="shared" si="23"/>
        <v>2024</v>
      </c>
      <c r="L302" s="14" t="str">
        <f t="shared" si="24"/>
        <v>Cancelled</v>
      </c>
      <c r="M302" s="18" t="str">
        <f t="shared" si="22"/>
        <v>New</v>
      </c>
    </row>
    <row r="303" spans="1:13" ht="15" thickBot="1" x14ac:dyDescent="0.35">
      <c r="A303" s="17">
        <v>50302</v>
      </c>
      <c r="B303" s="14" t="s">
        <v>43</v>
      </c>
      <c r="C303" s="14" t="s">
        <v>44</v>
      </c>
      <c r="D303" s="14">
        <v>14</v>
      </c>
      <c r="E303" s="15">
        <v>45329.365277777775</v>
      </c>
      <c r="F303" s="16">
        <v>1.0900000000000001</v>
      </c>
      <c r="G303" s="14">
        <v>12061</v>
      </c>
      <c r="H303" s="14" t="s">
        <v>24</v>
      </c>
      <c r="I303" s="16">
        <f t="shared" si="20"/>
        <v>15.260000000000002</v>
      </c>
      <c r="J303" s="14" t="str">
        <f t="shared" si="21"/>
        <v>Feb</v>
      </c>
      <c r="K303" s="14">
        <f t="shared" si="23"/>
        <v>2024</v>
      </c>
      <c r="L303" s="14" t="str">
        <f t="shared" si="24"/>
        <v>Completed</v>
      </c>
      <c r="M303" s="18" t="str">
        <f t="shared" si="22"/>
        <v>New</v>
      </c>
    </row>
    <row r="304" spans="1:13" ht="15" thickBot="1" x14ac:dyDescent="0.35">
      <c r="A304" s="17">
        <v>50303</v>
      </c>
      <c r="B304" s="14">
        <v>23203</v>
      </c>
      <c r="C304" s="14" t="s">
        <v>30</v>
      </c>
      <c r="D304" s="14">
        <v>14</v>
      </c>
      <c r="E304" s="15">
        <v>45308.536805555559</v>
      </c>
      <c r="F304" s="16">
        <v>1.87</v>
      </c>
      <c r="G304" s="14">
        <v>12656</v>
      </c>
      <c r="H304" s="14" t="s">
        <v>26</v>
      </c>
      <c r="I304" s="16">
        <f t="shared" si="20"/>
        <v>26.18</v>
      </c>
      <c r="J304" s="14" t="str">
        <f t="shared" si="21"/>
        <v>Jan</v>
      </c>
      <c r="K304" s="14">
        <f t="shared" si="23"/>
        <v>2024</v>
      </c>
      <c r="L304" s="14" t="str">
        <f t="shared" si="24"/>
        <v>Completed</v>
      </c>
      <c r="M304" s="18" t="str">
        <f t="shared" si="22"/>
        <v>Returning</v>
      </c>
    </row>
    <row r="305" spans="1:13" ht="15" thickBot="1" x14ac:dyDescent="0.35">
      <c r="A305" s="17">
        <v>50304</v>
      </c>
      <c r="B305" s="14">
        <v>21212</v>
      </c>
      <c r="C305" s="14" t="s">
        <v>21</v>
      </c>
      <c r="D305" s="14">
        <v>13</v>
      </c>
      <c r="E305" s="15">
        <v>45487.652083333334</v>
      </c>
      <c r="F305" s="16">
        <v>0.6</v>
      </c>
      <c r="G305" s="14">
        <v>12677</v>
      </c>
      <c r="H305" s="14" t="s">
        <v>10</v>
      </c>
      <c r="I305" s="16">
        <f t="shared" si="20"/>
        <v>7.8</v>
      </c>
      <c r="J305" s="14" t="str">
        <f t="shared" si="21"/>
        <v>Jul</v>
      </c>
      <c r="K305" s="14">
        <f t="shared" si="23"/>
        <v>2024</v>
      </c>
      <c r="L305" s="14" t="str">
        <f t="shared" si="24"/>
        <v>Completed</v>
      </c>
      <c r="M305" s="18" t="str">
        <f t="shared" si="22"/>
        <v>New</v>
      </c>
    </row>
    <row r="306" spans="1:13" ht="15" thickBot="1" x14ac:dyDescent="0.35">
      <c r="A306" s="17">
        <v>50305</v>
      </c>
      <c r="B306" s="14">
        <v>84879</v>
      </c>
      <c r="C306" s="14" t="s">
        <v>45</v>
      </c>
      <c r="D306" s="14">
        <v>4</v>
      </c>
      <c r="E306" s="15">
        <v>45626.580555555556</v>
      </c>
      <c r="F306" s="16">
        <v>1.75</v>
      </c>
      <c r="G306" s="14">
        <v>12541</v>
      </c>
      <c r="H306" s="14" t="s">
        <v>23</v>
      </c>
      <c r="I306" s="16">
        <f t="shared" si="20"/>
        <v>7</v>
      </c>
      <c r="J306" s="14" t="str">
        <f t="shared" si="21"/>
        <v>Nov</v>
      </c>
      <c r="K306" s="14">
        <f t="shared" si="23"/>
        <v>2024</v>
      </c>
      <c r="L306" s="14" t="str">
        <f t="shared" si="24"/>
        <v>Completed</v>
      </c>
      <c r="M306" s="18" t="str">
        <f t="shared" si="22"/>
        <v>New</v>
      </c>
    </row>
    <row r="307" spans="1:13" ht="15" thickBot="1" x14ac:dyDescent="0.35">
      <c r="A307" s="17">
        <v>50306</v>
      </c>
      <c r="B307" s="14">
        <v>22423</v>
      </c>
      <c r="C307" s="14" t="s">
        <v>36</v>
      </c>
      <c r="D307" s="14">
        <v>10</v>
      </c>
      <c r="E307" s="15">
        <v>45293.349305555559</v>
      </c>
      <c r="F307" s="16">
        <v>14.05</v>
      </c>
      <c r="G307" s="14">
        <v>12434</v>
      </c>
      <c r="H307" s="14" t="s">
        <v>10</v>
      </c>
      <c r="I307" s="16">
        <f t="shared" si="20"/>
        <v>140.5</v>
      </c>
      <c r="J307" s="14" t="str">
        <f t="shared" si="21"/>
        <v>Jan</v>
      </c>
      <c r="K307" s="14">
        <f t="shared" si="23"/>
        <v>2024</v>
      </c>
      <c r="L307" s="14" t="str">
        <f t="shared" si="24"/>
        <v>Completed</v>
      </c>
      <c r="M307" s="18" t="str">
        <f t="shared" si="22"/>
        <v>Returning</v>
      </c>
    </row>
    <row r="308" spans="1:13" ht="15" thickBot="1" x14ac:dyDescent="0.35">
      <c r="A308" s="17">
        <v>50307</v>
      </c>
      <c r="B308" s="14">
        <v>22386</v>
      </c>
      <c r="C308" s="14" t="s">
        <v>29</v>
      </c>
      <c r="D308" s="14">
        <v>15</v>
      </c>
      <c r="E308" s="15">
        <v>45409.509027777778</v>
      </c>
      <c r="F308" s="16">
        <v>1.85</v>
      </c>
      <c r="G308" s="14">
        <v>12959</v>
      </c>
      <c r="H308" s="14" t="s">
        <v>24</v>
      </c>
      <c r="I308" s="16">
        <f t="shared" si="20"/>
        <v>27.75</v>
      </c>
      <c r="J308" s="14" t="str">
        <f t="shared" si="21"/>
        <v>Apr</v>
      </c>
      <c r="K308" s="14">
        <f t="shared" si="23"/>
        <v>2024</v>
      </c>
      <c r="L308" s="14" t="str">
        <f t="shared" si="24"/>
        <v>Completed</v>
      </c>
      <c r="M308" s="18" t="str">
        <f t="shared" si="22"/>
        <v>New</v>
      </c>
    </row>
    <row r="309" spans="1:13" ht="15" thickBot="1" x14ac:dyDescent="0.35">
      <c r="A309" s="17">
        <v>50308</v>
      </c>
      <c r="B309" s="14">
        <v>71053</v>
      </c>
      <c r="C309" s="14" t="s">
        <v>38</v>
      </c>
      <c r="D309" s="14">
        <v>20</v>
      </c>
      <c r="E309" s="15">
        <v>45630.631249999999</v>
      </c>
      <c r="F309" s="16">
        <v>3.93</v>
      </c>
      <c r="G309" s="14">
        <v>12016</v>
      </c>
      <c r="H309" s="14" t="s">
        <v>37</v>
      </c>
      <c r="I309" s="16">
        <f t="shared" si="20"/>
        <v>78.600000000000009</v>
      </c>
      <c r="J309" s="14" t="str">
        <f t="shared" si="21"/>
        <v>Dec</v>
      </c>
      <c r="K309" s="14">
        <f t="shared" si="23"/>
        <v>2024</v>
      </c>
      <c r="L309" s="14" t="str">
        <f t="shared" si="24"/>
        <v>Completed</v>
      </c>
      <c r="M309" s="18" t="str">
        <f t="shared" si="22"/>
        <v>Returning</v>
      </c>
    </row>
    <row r="310" spans="1:13" ht="15" thickBot="1" x14ac:dyDescent="0.35">
      <c r="A310" s="17" t="s">
        <v>69</v>
      </c>
      <c r="B310" s="14">
        <v>22727</v>
      </c>
      <c r="C310" s="14" t="s">
        <v>46</v>
      </c>
      <c r="D310" s="14">
        <v>-1</v>
      </c>
      <c r="E310" s="15">
        <v>45326.404861111114</v>
      </c>
      <c r="F310" s="16">
        <v>3.51</v>
      </c>
      <c r="G310" s="14">
        <v>12045</v>
      </c>
      <c r="H310" s="14" t="s">
        <v>26</v>
      </c>
      <c r="I310" s="16">
        <f t="shared" si="20"/>
        <v>-3.51</v>
      </c>
      <c r="J310" s="14" t="str">
        <f t="shared" si="21"/>
        <v>Feb</v>
      </c>
      <c r="K310" s="14">
        <f t="shared" si="23"/>
        <v>2024</v>
      </c>
      <c r="L310" s="14" t="str">
        <f t="shared" si="24"/>
        <v>Cancelled</v>
      </c>
      <c r="M310" s="18" t="str">
        <f t="shared" si="22"/>
        <v>Wholesale</v>
      </c>
    </row>
    <row r="311" spans="1:13" ht="15" thickBot="1" x14ac:dyDescent="0.35">
      <c r="A311" s="17">
        <v>50310</v>
      </c>
      <c r="B311" s="14">
        <v>20725</v>
      </c>
      <c r="C311" s="14" t="s">
        <v>19</v>
      </c>
      <c r="D311" s="14">
        <v>7</v>
      </c>
      <c r="E311" s="15">
        <v>45411.716666666667</v>
      </c>
      <c r="F311" s="16">
        <v>1.85</v>
      </c>
      <c r="G311" s="14">
        <v>12143</v>
      </c>
      <c r="H311" s="14" t="s">
        <v>10</v>
      </c>
      <c r="I311" s="16">
        <f t="shared" si="20"/>
        <v>12.950000000000001</v>
      </c>
      <c r="J311" s="14" t="str">
        <f t="shared" si="21"/>
        <v>Apr</v>
      </c>
      <c r="K311" s="14">
        <f t="shared" si="23"/>
        <v>2024</v>
      </c>
      <c r="L311" s="14" t="str">
        <f t="shared" si="24"/>
        <v>Completed</v>
      </c>
      <c r="M311" s="18" t="str">
        <f t="shared" si="22"/>
        <v>New</v>
      </c>
    </row>
    <row r="312" spans="1:13" ht="15" thickBot="1" x14ac:dyDescent="0.35">
      <c r="A312" s="17">
        <v>50311</v>
      </c>
      <c r="B312" s="14">
        <v>22960</v>
      </c>
      <c r="C312" s="14" t="s">
        <v>49</v>
      </c>
      <c r="D312" s="14">
        <v>11</v>
      </c>
      <c r="E312" s="15">
        <v>45411.742361111108</v>
      </c>
      <c r="F312" s="16">
        <v>4.76</v>
      </c>
      <c r="G312" s="14">
        <v>12838</v>
      </c>
      <c r="H312" s="14" t="s">
        <v>18</v>
      </c>
      <c r="I312" s="16">
        <f t="shared" si="20"/>
        <v>52.36</v>
      </c>
      <c r="J312" s="14" t="str">
        <f t="shared" si="21"/>
        <v>Apr</v>
      </c>
      <c r="K312" s="14">
        <f t="shared" si="23"/>
        <v>2024</v>
      </c>
      <c r="L312" s="14" t="str">
        <f t="shared" si="24"/>
        <v>Completed</v>
      </c>
      <c r="M312" s="18" t="str">
        <f t="shared" si="22"/>
        <v>Returning</v>
      </c>
    </row>
    <row r="313" spans="1:13" ht="15" thickBot="1" x14ac:dyDescent="0.35">
      <c r="A313" s="17">
        <v>50312</v>
      </c>
      <c r="B313" s="14">
        <v>22423</v>
      </c>
      <c r="C313" s="14" t="s">
        <v>36</v>
      </c>
      <c r="D313" s="14">
        <v>22</v>
      </c>
      <c r="E313" s="15">
        <v>45446.43472222222</v>
      </c>
      <c r="F313" s="16">
        <v>12.68</v>
      </c>
      <c r="G313" s="14">
        <v>12281</v>
      </c>
      <c r="H313" s="14" t="s">
        <v>14</v>
      </c>
      <c r="I313" s="16">
        <f t="shared" si="20"/>
        <v>278.95999999999998</v>
      </c>
      <c r="J313" s="14" t="str">
        <f t="shared" si="21"/>
        <v>Jun</v>
      </c>
      <c r="K313" s="14">
        <f t="shared" si="23"/>
        <v>2024</v>
      </c>
      <c r="L313" s="14" t="str">
        <f t="shared" si="24"/>
        <v>Completed</v>
      </c>
      <c r="M313" s="18" t="str">
        <f t="shared" si="22"/>
        <v>New</v>
      </c>
    </row>
    <row r="314" spans="1:13" ht="15" thickBot="1" x14ac:dyDescent="0.35">
      <c r="A314" s="17">
        <v>50313</v>
      </c>
      <c r="B314" s="14" t="s">
        <v>15</v>
      </c>
      <c r="C314" s="14" t="s">
        <v>16</v>
      </c>
      <c r="D314" s="14">
        <v>21</v>
      </c>
      <c r="E314" s="15">
        <v>45594.457638888889</v>
      </c>
      <c r="F314" s="16">
        <v>3.08</v>
      </c>
      <c r="G314" s="14">
        <v>12048</v>
      </c>
      <c r="H314" s="14" t="s">
        <v>18</v>
      </c>
      <c r="I314" s="16">
        <f t="shared" si="20"/>
        <v>64.680000000000007</v>
      </c>
      <c r="J314" s="14" t="str">
        <f t="shared" si="21"/>
        <v>Oct</v>
      </c>
      <c r="K314" s="14">
        <f t="shared" si="23"/>
        <v>2024</v>
      </c>
      <c r="L314" s="14" t="str">
        <f t="shared" si="24"/>
        <v>Completed</v>
      </c>
      <c r="M314" s="18" t="str">
        <f t="shared" si="22"/>
        <v>Wholesale</v>
      </c>
    </row>
    <row r="315" spans="1:13" ht="15" thickBot="1" x14ac:dyDescent="0.35">
      <c r="A315" s="17">
        <v>50314</v>
      </c>
      <c r="B315" s="14">
        <v>22386</v>
      </c>
      <c r="C315" s="14" t="s">
        <v>29</v>
      </c>
      <c r="D315" s="14">
        <v>23</v>
      </c>
      <c r="E315" s="15">
        <v>45560.55972222222</v>
      </c>
      <c r="F315" s="16">
        <v>1.76</v>
      </c>
      <c r="G315" s="14">
        <v>12385</v>
      </c>
      <c r="H315" s="14" t="s">
        <v>23</v>
      </c>
      <c r="I315" s="16">
        <f t="shared" si="20"/>
        <v>40.479999999999997</v>
      </c>
      <c r="J315" s="14" t="str">
        <f t="shared" si="21"/>
        <v>Sep</v>
      </c>
      <c r="K315" s="14">
        <f t="shared" si="23"/>
        <v>2024</v>
      </c>
      <c r="L315" s="14" t="str">
        <f t="shared" si="24"/>
        <v>Completed</v>
      </c>
      <c r="M315" s="18" t="str">
        <f t="shared" si="22"/>
        <v>New</v>
      </c>
    </row>
    <row r="316" spans="1:13" ht="15" thickBot="1" x14ac:dyDescent="0.35">
      <c r="A316" s="17">
        <v>50315</v>
      </c>
      <c r="B316" s="14" t="s">
        <v>15</v>
      </c>
      <c r="C316" s="14" t="s">
        <v>16</v>
      </c>
      <c r="D316" s="14">
        <v>8</v>
      </c>
      <c r="E316" s="15">
        <v>45534.504166666666</v>
      </c>
      <c r="F316" s="16">
        <v>3.24</v>
      </c>
      <c r="G316" s="14">
        <v>12825</v>
      </c>
      <c r="H316" s="14" t="s">
        <v>28</v>
      </c>
      <c r="I316" s="16">
        <f t="shared" si="20"/>
        <v>25.92</v>
      </c>
      <c r="J316" s="14" t="str">
        <f t="shared" si="21"/>
        <v>Aug</v>
      </c>
      <c r="K316" s="14">
        <f t="shared" si="23"/>
        <v>2024</v>
      </c>
      <c r="L316" s="14" t="str">
        <f t="shared" si="24"/>
        <v>Completed</v>
      </c>
      <c r="M316" s="18" t="str">
        <f t="shared" si="22"/>
        <v>Wholesale</v>
      </c>
    </row>
    <row r="317" spans="1:13" ht="15" thickBot="1" x14ac:dyDescent="0.35">
      <c r="A317" s="17">
        <v>50316</v>
      </c>
      <c r="B317" s="14">
        <v>71053</v>
      </c>
      <c r="C317" s="14" t="s">
        <v>38</v>
      </c>
      <c r="D317" s="14">
        <v>14</v>
      </c>
      <c r="E317" s="15">
        <v>45579.626388888886</v>
      </c>
      <c r="F317" s="16">
        <v>3.04</v>
      </c>
      <c r="G317" s="14">
        <v>12248</v>
      </c>
      <c r="H317" s="14" t="s">
        <v>22</v>
      </c>
      <c r="I317" s="16">
        <f t="shared" si="20"/>
        <v>42.56</v>
      </c>
      <c r="J317" s="14" t="str">
        <f t="shared" si="21"/>
        <v>Oct</v>
      </c>
      <c r="K317" s="14">
        <f t="shared" si="23"/>
        <v>2024</v>
      </c>
      <c r="L317" s="14" t="str">
        <f t="shared" si="24"/>
        <v>Completed</v>
      </c>
      <c r="M317" s="18" t="str">
        <f t="shared" si="22"/>
        <v>Returning</v>
      </c>
    </row>
    <row r="318" spans="1:13" ht="15" thickBot="1" x14ac:dyDescent="0.35">
      <c r="A318" s="17">
        <v>50317</v>
      </c>
      <c r="B318" s="14">
        <v>22727</v>
      </c>
      <c r="C318" s="14" t="s">
        <v>46</v>
      </c>
      <c r="D318" s="14">
        <v>15</v>
      </c>
      <c r="E318" s="15">
        <v>45461.388888888891</v>
      </c>
      <c r="F318" s="16">
        <v>3.31</v>
      </c>
      <c r="G318" s="14">
        <v>12741</v>
      </c>
      <c r="H318" s="14" t="s">
        <v>37</v>
      </c>
      <c r="I318" s="16">
        <f t="shared" si="20"/>
        <v>49.65</v>
      </c>
      <c r="J318" s="14" t="str">
        <f t="shared" si="21"/>
        <v>Jun</v>
      </c>
      <c r="K318" s="14">
        <f t="shared" si="23"/>
        <v>2024</v>
      </c>
      <c r="L318" s="14" t="str">
        <f t="shared" si="24"/>
        <v>Completed</v>
      </c>
      <c r="M318" s="18" t="str">
        <f t="shared" si="22"/>
        <v>Wholesale</v>
      </c>
    </row>
    <row r="319" spans="1:13" ht="15" thickBot="1" x14ac:dyDescent="0.35">
      <c r="A319" s="17">
        <v>50318</v>
      </c>
      <c r="B319" s="14">
        <v>71053</v>
      </c>
      <c r="C319" s="14" t="s">
        <v>38</v>
      </c>
      <c r="D319" s="14">
        <v>22</v>
      </c>
      <c r="E319" s="15">
        <v>45429.601388888892</v>
      </c>
      <c r="F319" s="16">
        <v>2.93</v>
      </c>
      <c r="G319" s="14">
        <v>12074</v>
      </c>
      <c r="H319" s="14" t="s">
        <v>37</v>
      </c>
      <c r="I319" s="16">
        <f t="shared" si="20"/>
        <v>64.460000000000008</v>
      </c>
      <c r="J319" s="14" t="str">
        <f t="shared" si="21"/>
        <v>May</v>
      </c>
      <c r="K319" s="14">
        <f t="shared" si="23"/>
        <v>2024</v>
      </c>
      <c r="L319" s="14" t="str">
        <f t="shared" si="24"/>
        <v>Completed</v>
      </c>
      <c r="M319" s="18" t="str">
        <f t="shared" si="22"/>
        <v>Returning</v>
      </c>
    </row>
    <row r="320" spans="1:13" ht="15" thickBot="1" x14ac:dyDescent="0.35">
      <c r="A320" s="17">
        <v>50319</v>
      </c>
      <c r="B320" s="14" t="s">
        <v>43</v>
      </c>
      <c r="C320" s="14" t="s">
        <v>44</v>
      </c>
      <c r="D320" s="14">
        <v>7</v>
      </c>
      <c r="E320" s="15">
        <v>45635.730555555558</v>
      </c>
      <c r="F320" s="16">
        <v>1.44</v>
      </c>
      <c r="G320" s="14">
        <v>12340</v>
      </c>
      <c r="H320" s="14" t="s">
        <v>22</v>
      </c>
      <c r="I320" s="16">
        <f t="shared" si="20"/>
        <v>10.08</v>
      </c>
      <c r="J320" s="14" t="str">
        <f t="shared" si="21"/>
        <v>Dec</v>
      </c>
      <c r="K320" s="14">
        <f t="shared" si="23"/>
        <v>2024</v>
      </c>
      <c r="L320" s="14" t="str">
        <f t="shared" si="24"/>
        <v>Completed</v>
      </c>
      <c r="M320" s="18" t="str">
        <f t="shared" si="22"/>
        <v>Returning</v>
      </c>
    </row>
    <row r="321" spans="1:13" ht="15" thickBot="1" x14ac:dyDescent="0.35">
      <c r="A321" s="17">
        <v>50320</v>
      </c>
      <c r="B321" s="14" t="s">
        <v>31</v>
      </c>
      <c r="C321" s="14" t="s">
        <v>32</v>
      </c>
      <c r="D321" s="14">
        <v>24</v>
      </c>
      <c r="E321" s="15">
        <v>45400.468055555553</v>
      </c>
      <c r="F321" s="16">
        <v>3.06</v>
      </c>
      <c r="G321" s="14">
        <v>12490</v>
      </c>
      <c r="H321" s="14" t="s">
        <v>37</v>
      </c>
      <c r="I321" s="16">
        <f t="shared" si="20"/>
        <v>73.44</v>
      </c>
      <c r="J321" s="14" t="str">
        <f t="shared" si="21"/>
        <v>Apr</v>
      </c>
      <c r="K321" s="14">
        <f t="shared" si="23"/>
        <v>2024</v>
      </c>
      <c r="L321" s="14" t="str">
        <f t="shared" si="24"/>
        <v>Completed</v>
      </c>
      <c r="M321" s="18" t="str">
        <f t="shared" si="22"/>
        <v>Returning</v>
      </c>
    </row>
    <row r="322" spans="1:13" ht="15" thickBot="1" x14ac:dyDescent="0.35">
      <c r="A322" s="17">
        <v>50321</v>
      </c>
      <c r="B322" s="14">
        <v>84991</v>
      </c>
      <c r="C322" s="14" t="s">
        <v>25</v>
      </c>
      <c r="D322" s="14">
        <v>13</v>
      </c>
      <c r="E322" s="15">
        <v>45652.478472222225</v>
      </c>
      <c r="F322" s="16">
        <v>0.56999999999999995</v>
      </c>
      <c r="G322" s="14">
        <v>12794</v>
      </c>
      <c r="H322" s="14" t="s">
        <v>22</v>
      </c>
      <c r="I322" s="16">
        <f t="shared" ref="I322:I385" si="25">D322*F322</f>
        <v>7.4099999999999993</v>
      </c>
      <c r="J322" s="14" t="str">
        <f t="shared" ref="J322:J385" si="26">TEXT(E322,"mmm")</f>
        <v>Dec</v>
      </c>
      <c r="K322" s="14">
        <f t="shared" si="23"/>
        <v>2024</v>
      </c>
      <c r="L322" s="14" t="str">
        <f t="shared" si="24"/>
        <v>Completed</v>
      </c>
      <c r="M322" s="18" t="str">
        <f t="shared" ref="M322:M385" si="27">IF(G322=0,"Unknown",IF(MOD(G322,3)=0,"Wholesale",IF(MOD(G322,2)=0,"Returning","New")))</f>
        <v>Returning</v>
      </c>
    </row>
    <row r="323" spans="1:13" ht="15" thickBot="1" x14ac:dyDescent="0.35">
      <c r="A323" s="17">
        <v>50322</v>
      </c>
      <c r="B323" s="14">
        <v>22386</v>
      </c>
      <c r="C323" s="14" t="s">
        <v>29</v>
      </c>
      <c r="D323" s="14">
        <v>21</v>
      </c>
      <c r="E323" s="15">
        <v>45530.712500000001</v>
      </c>
      <c r="F323" s="16">
        <v>1.84</v>
      </c>
      <c r="G323" s="14">
        <v>12525</v>
      </c>
      <c r="H323" s="14" t="s">
        <v>28</v>
      </c>
      <c r="I323" s="16">
        <f t="shared" si="25"/>
        <v>38.64</v>
      </c>
      <c r="J323" s="14" t="str">
        <f t="shared" si="26"/>
        <v>Aug</v>
      </c>
      <c r="K323" s="14">
        <f t="shared" ref="K323:K386" si="28">YEAR(E323)</f>
        <v>2024</v>
      </c>
      <c r="L323" s="14" t="str">
        <f t="shared" ref="L323:L386" si="29">IF(OR(LEFT(A323,1)="C",D323&lt;0),"Cancelled","Completed")</f>
        <v>Completed</v>
      </c>
      <c r="M323" s="18" t="str">
        <f t="shared" si="27"/>
        <v>Wholesale</v>
      </c>
    </row>
    <row r="324" spans="1:13" ht="15" thickBot="1" x14ac:dyDescent="0.35">
      <c r="A324" s="17">
        <v>50323</v>
      </c>
      <c r="B324" s="14">
        <v>20725</v>
      </c>
      <c r="C324" s="14" t="s">
        <v>19</v>
      </c>
      <c r="D324" s="14">
        <v>11</v>
      </c>
      <c r="E324" s="15">
        <v>45342.666666666664</v>
      </c>
      <c r="F324" s="16">
        <v>1.62</v>
      </c>
      <c r="G324" s="14">
        <v>12423</v>
      </c>
      <c r="H324" s="14" t="s">
        <v>14</v>
      </c>
      <c r="I324" s="16">
        <f t="shared" si="25"/>
        <v>17.82</v>
      </c>
      <c r="J324" s="14" t="str">
        <f t="shared" si="26"/>
        <v>Feb</v>
      </c>
      <c r="K324" s="14">
        <f t="shared" si="28"/>
        <v>2024</v>
      </c>
      <c r="L324" s="14" t="str">
        <f t="shared" si="29"/>
        <v>Completed</v>
      </c>
      <c r="M324" s="18" t="str">
        <f t="shared" si="27"/>
        <v>Wholesale</v>
      </c>
    </row>
    <row r="325" spans="1:13" ht="15" thickBot="1" x14ac:dyDescent="0.35">
      <c r="A325" s="17">
        <v>50324</v>
      </c>
      <c r="B325" s="14" t="s">
        <v>43</v>
      </c>
      <c r="C325" s="14" t="s">
        <v>44</v>
      </c>
      <c r="D325" s="14">
        <v>1</v>
      </c>
      <c r="E325" s="15">
        <v>45405.436805555553</v>
      </c>
      <c r="F325" s="16">
        <v>1.47</v>
      </c>
      <c r="G325" s="14">
        <v>12593</v>
      </c>
      <c r="H325" s="14" t="s">
        <v>26</v>
      </c>
      <c r="I325" s="16">
        <f t="shared" si="25"/>
        <v>1.47</v>
      </c>
      <c r="J325" s="14" t="str">
        <f t="shared" si="26"/>
        <v>Apr</v>
      </c>
      <c r="K325" s="14">
        <f t="shared" si="28"/>
        <v>2024</v>
      </c>
      <c r="L325" s="14" t="str">
        <f t="shared" si="29"/>
        <v>Completed</v>
      </c>
      <c r="M325" s="18" t="str">
        <f t="shared" si="27"/>
        <v>New</v>
      </c>
    </row>
    <row r="326" spans="1:13" ht="15" thickBot="1" x14ac:dyDescent="0.35">
      <c r="A326" s="17">
        <v>50325</v>
      </c>
      <c r="B326" s="14">
        <v>22960</v>
      </c>
      <c r="C326" s="14" t="s">
        <v>49</v>
      </c>
      <c r="D326" s="14">
        <v>11</v>
      </c>
      <c r="E326" s="15">
        <v>45370.472222222219</v>
      </c>
      <c r="F326" s="16">
        <v>4.46</v>
      </c>
      <c r="G326" s="14">
        <v>12251</v>
      </c>
      <c r="H326" s="14" t="s">
        <v>28</v>
      </c>
      <c r="I326" s="16">
        <f t="shared" si="25"/>
        <v>49.06</v>
      </c>
      <c r="J326" s="14" t="str">
        <f t="shared" si="26"/>
        <v>Mar</v>
      </c>
      <c r="K326" s="14">
        <f t="shared" si="28"/>
        <v>2024</v>
      </c>
      <c r="L326" s="14" t="str">
        <f t="shared" si="29"/>
        <v>Completed</v>
      </c>
      <c r="M326" s="18" t="str">
        <f t="shared" si="27"/>
        <v>New</v>
      </c>
    </row>
    <row r="327" spans="1:13" ht="15" thickBot="1" x14ac:dyDescent="0.35">
      <c r="A327" s="17">
        <v>50326</v>
      </c>
      <c r="B327" s="14" t="s">
        <v>15</v>
      </c>
      <c r="C327" s="14" t="s">
        <v>16</v>
      </c>
      <c r="D327" s="14">
        <v>9</v>
      </c>
      <c r="E327" s="15">
        <v>45627.572916666664</v>
      </c>
      <c r="F327" s="16">
        <v>3.01</v>
      </c>
      <c r="G327" s="14">
        <v>12740</v>
      </c>
      <c r="H327" s="14" t="s">
        <v>28</v>
      </c>
      <c r="I327" s="16">
        <f t="shared" si="25"/>
        <v>27.089999999999996</v>
      </c>
      <c r="J327" s="14" t="str">
        <f t="shared" si="26"/>
        <v>Dec</v>
      </c>
      <c r="K327" s="14">
        <f t="shared" si="28"/>
        <v>2024</v>
      </c>
      <c r="L327" s="14" t="str">
        <f t="shared" si="29"/>
        <v>Completed</v>
      </c>
      <c r="M327" s="18" t="str">
        <f t="shared" si="27"/>
        <v>Returning</v>
      </c>
    </row>
    <row r="328" spans="1:13" ht="15" thickBot="1" x14ac:dyDescent="0.35">
      <c r="A328" s="17">
        <v>50327</v>
      </c>
      <c r="B328" s="14">
        <v>20725</v>
      </c>
      <c r="C328" s="14" t="s">
        <v>19</v>
      </c>
      <c r="D328" s="14">
        <v>6</v>
      </c>
      <c r="E328" s="15">
        <v>45378.583333333336</v>
      </c>
      <c r="F328" s="16">
        <v>1.72</v>
      </c>
      <c r="G328" s="14">
        <v>12188</v>
      </c>
      <c r="H328" s="14" t="s">
        <v>10</v>
      </c>
      <c r="I328" s="16">
        <f t="shared" si="25"/>
        <v>10.32</v>
      </c>
      <c r="J328" s="14" t="str">
        <f t="shared" si="26"/>
        <v>Mar</v>
      </c>
      <c r="K328" s="14">
        <f t="shared" si="28"/>
        <v>2024</v>
      </c>
      <c r="L328" s="14" t="str">
        <f t="shared" si="29"/>
        <v>Completed</v>
      </c>
      <c r="M328" s="18" t="str">
        <f t="shared" si="27"/>
        <v>Returning</v>
      </c>
    </row>
    <row r="329" spans="1:13" ht="15" thickBot="1" x14ac:dyDescent="0.35">
      <c r="A329" s="17">
        <v>50328</v>
      </c>
      <c r="B329" s="14">
        <v>71053</v>
      </c>
      <c r="C329" s="14" t="s">
        <v>38</v>
      </c>
      <c r="D329" s="14">
        <v>3</v>
      </c>
      <c r="E329" s="15">
        <v>45560.356944444444</v>
      </c>
      <c r="F329" s="16">
        <v>3.67</v>
      </c>
      <c r="G329" s="14">
        <v>12782</v>
      </c>
      <c r="H329" s="14" t="s">
        <v>14</v>
      </c>
      <c r="I329" s="16">
        <f t="shared" si="25"/>
        <v>11.01</v>
      </c>
      <c r="J329" s="14" t="str">
        <f t="shared" si="26"/>
        <v>Sep</v>
      </c>
      <c r="K329" s="14">
        <f t="shared" si="28"/>
        <v>2024</v>
      </c>
      <c r="L329" s="14" t="str">
        <f t="shared" si="29"/>
        <v>Completed</v>
      </c>
      <c r="M329" s="18" t="str">
        <f t="shared" si="27"/>
        <v>Returning</v>
      </c>
    </row>
    <row r="330" spans="1:13" ht="15" thickBot="1" x14ac:dyDescent="0.35">
      <c r="A330" s="17">
        <v>50329</v>
      </c>
      <c r="B330" s="14" t="s">
        <v>39</v>
      </c>
      <c r="C330" s="14" t="s">
        <v>40</v>
      </c>
      <c r="D330" s="14">
        <v>3</v>
      </c>
      <c r="E330" s="15">
        <v>45362.49722222222</v>
      </c>
      <c r="F330" s="16">
        <v>1.77</v>
      </c>
      <c r="G330" s="14">
        <v>12517</v>
      </c>
      <c r="H330" s="14" t="s">
        <v>28</v>
      </c>
      <c r="I330" s="16">
        <f t="shared" si="25"/>
        <v>5.3100000000000005</v>
      </c>
      <c r="J330" s="14" t="str">
        <f t="shared" si="26"/>
        <v>Mar</v>
      </c>
      <c r="K330" s="14">
        <f t="shared" si="28"/>
        <v>2024</v>
      </c>
      <c r="L330" s="14" t="str">
        <f t="shared" si="29"/>
        <v>Completed</v>
      </c>
      <c r="M330" s="18" t="str">
        <f t="shared" si="27"/>
        <v>New</v>
      </c>
    </row>
    <row r="331" spans="1:13" ht="15" thickBot="1" x14ac:dyDescent="0.35">
      <c r="A331" s="17">
        <v>50330</v>
      </c>
      <c r="B331" s="14">
        <v>21212</v>
      </c>
      <c r="C331" s="14" t="s">
        <v>21</v>
      </c>
      <c r="D331" s="14">
        <v>22</v>
      </c>
      <c r="E331" s="15">
        <v>45322.676388888889</v>
      </c>
      <c r="F331" s="16">
        <v>0.47</v>
      </c>
      <c r="G331" s="14">
        <v>12564</v>
      </c>
      <c r="H331" s="14" t="s">
        <v>26</v>
      </c>
      <c r="I331" s="16">
        <f t="shared" si="25"/>
        <v>10.34</v>
      </c>
      <c r="J331" s="14" t="str">
        <f t="shared" si="26"/>
        <v>Jan</v>
      </c>
      <c r="K331" s="14">
        <f t="shared" si="28"/>
        <v>2024</v>
      </c>
      <c r="L331" s="14" t="str">
        <f t="shared" si="29"/>
        <v>Completed</v>
      </c>
      <c r="M331" s="18" t="str">
        <f t="shared" si="27"/>
        <v>Wholesale</v>
      </c>
    </row>
    <row r="332" spans="1:13" ht="15" thickBot="1" x14ac:dyDescent="0.35">
      <c r="A332" s="17">
        <v>50331</v>
      </c>
      <c r="B332" s="14" t="s">
        <v>31</v>
      </c>
      <c r="C332" s="14" t="s">
        <v>32</v>
      </c>
      <c r="D332" s="14">
        <v>24</v>
      </c>
      <c r="E332" s="15">
        <v>45300.709722222222</v>
      </c>
      <c r="F332" s="16">
        <v>3.04</v>
      </c>
      <c r="G332" s="14">
        <v>12017</v>
      </c>
      <c r="H332" s="14" t="s">
        <v>10</v>
      </c>
      <c r="I332" s="16">
        <f t="shared" si="25"/>
        <v>72.960000000000008</v>
      </c>
      <c r="J332" s="14" t="str">
        <f t="shared" si="26"/>
        <v>Jan</v>
      </c>
      <c r="K332" s="14">
        <f t="shared" si="28"/>
        <v>2024</v>
      </c>
      <c r="L332" s="14" t="str">
        <f t="shared" si="29"/>
        <v>Completed</v>
      </c>
      <c r="M332" s="18" t="str">
        <f t="shared" si="27"/>
        <v>New</v>
      </c>
    </row>
    <row r="333" spans="1:13" ht="15" thickBot="1" x14ac:dyDescent="0.35">
      <c r="A333" s="17">
        <v>50332</v>
      </c>
      <c r="B333" s="14" t="s">
        <v>39</v>
      </c>
      <c r="C333" s="14" t="s">
        <v>40</v>
      </c>
      <c r="D333" s="14">
        <v>4</v>
      </c>
      <c r="E333" s="15">
        <v>45383.40902777778</v>
      </c>
      <c r="F333" s="16">
        <v>1.94</v>
      </c>
      <c r="G333" s="14">
        <v>12634</v>
      </c>
      <c r="H333" s="14" t="s">
        <v>10</v>
      </c>
      <c r="I333" s="16">
        <f t="shared" si="25"/>
        <v>7.76</v>
      </c>
      <c r="J333" s="14" t="str">
        <f t="shared" si="26"/>
        <v>Apr</v>
      </c>
      <c r="K333" s="14">
        <f t="shared" si="28"/>
        <v>2024</v>
      </c>
      <c r="L333" s="14" t="str">
        <f t="shared" si="29"/>
        <v>Completed</v>
      </c>
      <c r="M333" s="18" t="str">
        <f t="shared" si="27"/>
        <v>Returning</v>
      </c>
    </row>
    <row r="334" spans="1:13" ht="15" thickBot="1" x14ac:dyDescent="0.35">
      <c r="A334" s="17">
        <v>50333</v>
      </c>
      <c r="B334" s="14">
        <v>47566</v>
      </c>
      <c r="C334" s="14" t="s">
        <v>27</v>
      </c>
      <c r="D334" s="14">
        <v>13</v>
      </c>
      <c r="E334" s="15">
        <v>45473.522916666669</v>
      </c>
      <c r="F334" s="16">
        <v>5.87</v>
      </c>
      <c r="G334" s="14">
        <v>12470</v>
      </c>
      <c r="H334" s="14" t="s">
        <v>20</v>
      </c>
      <c r="I334" s="16">
        <f t="shared" si="25"/>
        <v>76.31</v>
      </c>
      <c r="J334" s="14" t="str">
        <f t="shared" si="26"/>
        <v>Jun</v>
      </c>
      <c r="K334" s="14">
        <f t="shared" si="28"/>
        <v>2024</v>
      </c>
      <c r="L334" s="14" t="str">
        <f t="shared" si="29"/>
        <v>Completed</v>
      </c>
      <c r="M334" s="18" t="str">
        <f t="shared" si="27"/>
        <v>Returning</v>
      </c>
    </row>
    <row r="335" spans="1:13" ht="15" thickBot="1" x14ac:dyDescent="0.35">
      <c r="A335" s="17">
        <v>50334</v>
      </c>
      <c r="B335" s="14">
        <v>22423</v>
      </c>
      <c r="C335" s="14" t="s">
        <v>36</v>
      </c>
      <c r="D335" s="14">
        <v>10</v>
      </c>
      <c r="E335" s="15">
        <v>45648.493750000001</v>
      </c>
      <c r="F335" s="16">
        <v>14.62</v>
      </c>
      <c r="G335" s="14">
        <v>12669</v>
      </c>
      <c r="H335" s="14" t="s">
        <v>14</v>
      </c>
      <c r="I335" s="16">
        <f t="shared" si="25"/>
        <v>146.19999999999999</v>
      </c>
      <c r="J335" s="14" t="str">
        <f t="shared" si="26"/>
        <v>Dec</v>
      </c>
      <c r="K335" s="14">
        <f t="shared" si="28"/>
        <v>2024</v>
      </c>
      <c r="L335" s="14" t="str">
        <f t="shared" si="29"/>
        <v>Completed</v>
      </c>
      <c r="M335" s="18" t="str">
        <f t="shared" si="27"/>
        <v>Wholesale</v>
      </c>
    </row>
    <row r="336" spans="1:13" ht="15" thickBot="1" x14ac:dyDescent="0.35">
      <c r="A336" s="17">
        <v>50335</v>
      </c>
      <c r="B336" s="14" t="s">
        <v>12</v>
      </c>
      <c r="C336" s="14" t="s">
        <v>13</v>
      </c>
      <c r="D336" s="14">
        <v>13</v>
      </c>
      <c r="E336" s="15">
        <v>45499.602777777778</v>
      </c>
      <c r="F336" s="16">
        <v>2.39</v>
      </c>
      <c r="G336" s="14">
        <v>12009</v>
      </c>
      <c r="H336" s="14" t="s">
        <v>23</v>
      </c>
      <c r="I336" s="16">
        <f t="shared" si="25"/>
        <v>31.07</v>
      </c>
      <c r="J336" s="14" t="str">
        <f t="shared" si="26"/>
        <v>Jul</v>
      </c>
      <c r="K336" s="14">
        <f t="shared" si="28"/>
        <v>2024</v>
      </c>
      <c r="L336" s="14" t="str">
        <f t="shared" si="29"/>
        <v>Completed</v>
      </c>
      <c r="M336" s="18" t="str">
        <f t="shared" si="27"/>
        <v>Wholesale</v>
      </c>
    </row>
    <row r="337" spans="1:13" ht="15" thickBot="1" x14ac:dyDescent="0.35">
      <c r="A337" s="17">
        <v>50336</v>
      </c>
      <c r="B337" s="14" t="s">
        <v>12</v>
      </c>
      <c r="C337" s="14" t="s">
        <v>13</v>
      </c>
      <c r="D337" s="14">
        <v>21</v>
      </c>
      <c r="E337" s="15">
        <v>45547.64166666667</v>
      </c>
      <c r="F337" s="16">
        <v>2.88</v>
      </c>
      <c r="G337" s="14">
        <v>12878</v>
      </c>
      <c r="H337" s="14" t="s">
        <v>24</v>
      </c>
      <c r="I337" s="16">
        <f t="shared" si="25"/>
        <v>60.48</v>
      </c>
      <c r="J337" s="14" t="str">
        <f t="shared" si="26"/>
        <v>Sep</v>
      </c>
      <c r="K337" s="14">
        <f t="shared" si="28"/>
        <v>2024</v>
      </c>
      <c r="L337" s="14" t="str">
        <f t="shared" si="29"/>
        <v>Completed</v>
      </c>
      <c r="M337" s="18" t="str">
        <f t="shared" si="27"/>
        <v>Returning</v>
      </c>
    </row>
    <row r="338" spans="1:13" ht="15" thickBot="1" x14ac:dyDescent="0.35">
      <c r="A338" s="17">
        <v>50337</v>
      </c>
      <c r="B338" s="14" t="s">
        <v>33</v>
      </c>
      <c r="C338" s="14" t="s">
        <v>34</v>
      </c>
      <c r="D338" s="14">
        <v>7</v>
      </c>
      <c r="E338" s="15">
        <v>45313.496527777781</v>
      </c>
      <c r="F338" s="16">
        <v>19.66</v>
      </c>
      <c r="G338" s="14">
        <v>12580</v>
      </c>
      <c r="H338" s="14" t="s">
        <v>28</v>
      </c>
      <c r="I338" s="16">
        <f t="shared" si="25"/>
        <v>137.62</v>
      </c>
      <c r="J338" s="14" t="str">
        <f t="shared" si="26"/>
        <v>Jan</v>
      </c>
      <c r="K338" s="14">
        <f t="shared" si="28"/>
        <v>2024</v>
      </c>
      <c r="L338" s="14" t="str">
        <f t="shared" si="29"/>
        <v>Completed</v>
      </c>
      <c r="M338" s="18" t="str">
        <f t="shared" si="27"/>
        <v>Returning</v>
      </c>
    </row>
    <row r="339" spans="1:13" ht="15" thickBot="1" x14ac:dyDescent="0.35">
      <c r="A339" s="17">
        <v>50338</v>
      </c>
      <c r="B339" s="14">
        <v>47566</v>
      </c>
      <c r="C339" s="14" t="s">
        <v>27</v>
      </c>
      <c r="D339" s="14">
        <v>22</v>
      </c>
      <c r="E339" s="15">
        <v>45315.386111111111</v>
      </c>
      <c r="F339" s="16">
        <v>5.77</v>
      </c>
      <c r="G339" s="14">
        <v>12577</v>
      </c>
      <c r="H339" s="14" t="s">
        <v>14</v>
      </c>
      <c r="I339" s="16">
        <f t="shared" si="25"/>
        <v>126.94</v>
      </c>
      <c r="J339" s="14" t="str">
        <f t="shared" si="26"/>
        <v>Jan</v>
      </c>
      <c r="K339" s="14">
        <f t="shared" si="28"/>
        <v>2024</v>
      </c>
      <c r="L339" s="14" t="str">
        <f t="shared" si="29"/>
        <v>Completed</v>
      </c>
      <c r="M339" s="18" t="str">
        <f t="shared" si="27"/>
        <v>New</v>
      </c>
    </row>
    <row r="340" spans="1:13" ht="15" thickBot="1" x14ac:dyDescent="0.35">
      <c r="A340" s="17">
        <v>50339</v>
      </c>
      <c r="B340" s="14">
        <v>22720</v>
      </c>
      <c r="C340" s="14" t="s">
        <v>17</v>
      </c>
      <c r="D340" s="14">
        <v>7</v>
      </c>
      <c r="E340" s="15">
        <v>45453.344444444447</v>
      </c>
      <c r="F340" s="16">
        <v>5.51</v>
      </c>
      <c r="G340" s="14">
        <v>12729</v>
      </c>
      <c r="H340" s="14" t="s">
        <v>26</v>
      </c>
      <c r="I340" s="16">
        <f t="shared" si="25"/>
        <v>38.57</v>
      </c>
      <c r="J340" s="14" t="str">
        <f t="shared" si="26"/>
        <v>Jun</v>
      </c>
      <c r="K340" s="14">
        <f t="shared" si="28"/>
        <v>2024</v>
      </c>
      <c r="L340" s="14" t="str">
        <f t="shared" si="29"/>
        <v>Completed</v>
      </c>
      <c r="M340" s="18" t="str">
        <f t="shared" si="27"/>
        <v>Wholesale</v>
      </c>
    </row>
    <row r="341" spans="1:13" ht="15" thickBot="1" x14ac:dyDescent="0.35">
      <c r="A341" s="17">
        <v>50340</v>
      </c>
      <c r="B341" s="14" t="s">
        <v>12</v>
      </c>
      <c r="C341" s="14" t="s">
        <v>13</v>
      </c>
      <c r="D341" s="14">
        <v>19</v>
      </c>
      <c r="E341" s="15">
        <v>45445.448611111111</v>
      </c>
      <c r="F341" s="16">
        <v>3.14</v>
      </c>
      <c r="G341" s="14">
        <v>12398</v>
      </c>
      <c r="H341" s="14" t="s">
        <v>10</v>
      </c>
      <c r="I341" s="16">
        <f t="shared" si="25"/>
        <v>59.660000000000004</v>
      </c>
      <c r="J341" s="14" t="str">
        <f t="shared" si="26"/>
        <v>Jun</v>
      </c>
      <c r="K341" s="14">
        <f t="shared" si="28"/>
        <v>2024</v>
      </c>
      <c r="L341" s="14" t="str">
        <f t="shared" si="29"/>
        <v>Completed</v>
      </c>
      <c r="M341" s="18" t="str">
        <f t="shared" si="27"/>
        <v>Returning</v>
      </c>
    </row>
    <row r="342" spans="1:13" ht="15" thickBot="1" x14ac:dyDescent="0.35">
      <c r="A342" s="17">
        <v>50341</v>
      </c>
      <c r="B342" s="14">
        <v>22086</v>
      </c>
      <c r="C342" s="14" t="s">
        <v>41</v>
      </c>
      <c r="D342" s="14">
        <v>23</v>
      </c>
      <c r="E342" s="15">
        <v>45488.432638888888</v>
      </c>
      <c r="F342" s="16">
        <v>3.02</v>
      </c>
      <c r="G342" s="14">
        <v>12997</v>
      </c>
      <c r="H342" s="14" t="s">
        <v>18</v>
      </c>
      <c r="I342" s="16">
        <f t="shared" si="25"/>
        <v>69.459999999999994</v>
      </c>
      <c r="J342" s="14" t="str">
        <f t="shared" si="26"/>
        <v>Jul</v>
      </c>
      <c r="K342" s="14">
        <f t="shared" si="28"/>
        <v>2024</v>
      </c>
      <c r="L342" s="14" t="str">
        <f t="shared" si="29"/>
        <v>Completed</v>
      </c>
      <c r="M342" s="18" t="str">
        <f t="shared" si="27"/>
        <v>New</v>
      </c>
    </row>
    <row r="343" spans="1:13" ht="15" thickBot="1" x14ac:dyDescent="0.35">
      <c r="A343" s="17">
        <v>50342</v>
      </c>
      <c r="B343" s="14">
        <v>71053</v>
      </c>
      <c r="C343" s="14" t="s">
        <v>38</v>
      </c>
      <c r="D343" s="14">
        <v>8</v>
      </c>
      <c r="E343" s="15">
        <v>45342.643750000003</v>
      </c>
      <c r="F343" s="16">
        <v>3.29</v>
      </c>
      <c r="G343" s="14">
        <v>12787</v>
      </c>
      <c r="H343" s="14" t="s">
        <v>20</v>
      </c>
      <c r="I343" s="16">
        <f t="shared" si="25"/>
        <v>26.32</v>
      </c>
      <c r="J343" s="14" t="str">
        <f t="shared" si="26"/>
        <v>Feb</v>
      </c>
      <c r="K343" s="14">
        <f t="shared" si="28"/>
        <v>2024</v>
      </c>
      <c r="L343" s="14" t="str">
        <f t="shared" si="29"/>
        <v>Completed</v>
      </c>
      <c r="M343" s="18" t="str">
        <f t="shared" si="27"/>
        <v>New</v>
      </c>
    </row>
    <row r="344" spans="1:13" ht="15" thickBot="1" x14ac:dyDescent="0.35">
      <c r="A344" s="17">
        <v>50343</v>
      </c>
      <c r="B344" s="14">
        <v>84991</v>
      </c>
      <c r="C344" s="14" t="s">
        <v>25</v>
      </c>
      <c r="D344" s="14">
        <v>1</v>
      </c>
      <c r="E344" s="15">
        <v>45495.56527777778</v>
      </c>
      <c r="F344" s="16">
        <v>0.62</v>
      </c>
      <c r="G344" s="14">
        <v>12461</v>
      </c>
      <c r="H344" s="14" t="s">
        <v>28</v>
      </c>
      <c r="I344" s="16">
        <f t="shared" si="25"/>
        <v>0.62</v>
      </c>
      <c r="J344" s="14" t="str">
        <f t="shared" si="26"/>
        <v>Jul</v>
      </c>
      <c r="K344" s="14">
        <f t="shared" si="28"/>
        <v>2024</v>
      </c>
      <c r="L344" s="14" t="str">
        <f t="shared" si="29"/>
        <v>Completed</v>
      </c>
      <c r="M344" s="18" t="str">
        <f t="shared" si="27"/>
        <v>New</v>
      </c>
    </row>
    <row r="345" spans="1:13" ht="15" thickBot="1" x14ac:dyDescent="0.35">
      <c r="A345" s="17">
        <v>50344</v>
      </c>
      <c r="B345" s="14">
        <v>22423</v>
      </c>
      <c r="C345" s="14" t="s">
        <v>36</v>
      </c>
      <c r="D345" s="14">
        <v>13</v>
      </c>
      <c r="E345" s="15">
        <v>45474.726388888892</v>
      </c>
      <c r="F345" s="16">
        <v>13.87</v>
      </c>
      <c r="G345" s="14">
        <v>12676</v>
      </c>
      <c r="H345" s="14" t="s">
        <v>26</v>
      </c>
      <c r="I345" s="16">
        <f t="shared" si="25"/>
        <v>180.31</v>
      </c>
      <c r="J345" s="14" t="str">
        <f t="shared" si="26"/>
        <v>Jul</v>
      </c>
      <c r="K345" s="14">
        <f t="shared" si="28"/>
        <v>2024</v>
      </c>
      <c r="L345" s="14" t="str">
        <f t="shared" si="29"/>
        <v>Completed</v>
      </c>
      <c r="M345" s="18" t="str">
        <f t="shared" si="27"/>
        <v>Returning</v>
      </c>
    </row>
    <row r="346" spans="1:13" ht="15" thickBot="1" x14ac:dyDescent="0.35">
      <c r="A346" s="17">
        <v>50345</v>
      </c>
      <c r="B346" s="14" t="s">
        <v>12</v>
      </c>
      <c r="C346" s="14" t="s">
        <v>13</v>
      </c>
      <c r="D346" s="14">
        <v>8</v>
      </c>
      <c r="E346" s="15">
        <v>45608.543055555558</v>
      </c>
      <c r="F346" s="16">
        <v>2.42</v>
      </c>
      <c r="G346" s="14">
        <v>12157</v>
      </c>
      <c r="H346" s="14" t="s">
        <v>26</v>
      </c>
      <c r="I346" s="16">
        <f t="shared" si="25"/>
        <v>19.36</v>
      </c>
      <c r="J346" s="14" t="str">
        <f t="shared" si="26"/>
        <v>Nov</v>
      </c>
      <c r="K346" s="14">
        <f t="shared" si="28"/>
        <v>2024</v>
      </c>
      <c r="L346" s="14" t="str">
        <f t="shared" si="29"/>
        <v>Completed</v>
      </c>
      <c r="M346" s="18" t="str">
        <f t="shared" si="27"/>
        <v>New</v>
      </c>
    </row>
    <row r="347" spans="1:13" ht="15" thickBot="1" x14ac:dyDescent="0.35">
      <c r="A347" s="17">
        <v>50346</v>
      </c>
      <c r="B347" s="14">
        <v>84879</v>
      </c>
      <c r="C347" s="14" t="s">
        <v>45</v>
      </c>
      <c r="D347" s="14">
        <v>12</v>
      </c>
      <c r="E347" s="15">
        <v>45491.558333333334</v>
      </c>
      <c r="F347" s="16">
        <v>1.44</v>
      </c>
      <c r="G347" s="14">
        <v>12315</v>
      </c>
      <c r="H347" s="14" t="s">
        <v>28</v>
      </c>
      <c r="I347" s="16">
        <f t="shared" si="25"/>
        <v>17.28</v>
      </c>
      <c r="J347" s="14" t="str">
        <f t="shared" si="26"/>
        <v>Jul</v>
      </c>
      <c r="K347" s="14">
        <f t="shared" si="28"/>
        <v>2024</v>
      </c>
      <c r="L347" s="14" t="str">
        <f t="shared" si="29"/>
        <v>Completed</v>
      </c>
      <c r="M347" s="18" t="str">
        <f t="shared" si="27"/>
        <v>Wholesale</v>
      </c>
    </row>
    <row r="348" spans="1:13" ht="15" thickBot="1" x14ac:dyDescent="0.35">
      <c r="A348" s="17">
        <v>50347</v>
      </c>
      <c r="B348" s="14">
        <v>21212</v>
      </c>
      <c r="C348" s="14" t="s">
        <v>21</v>
      </c>
      <c r="D348" s="14">
        <v>5</v>
      </c>
      <c r="E348" s="15">
        <v>45430.405555555553</v>
      </c>
      <c r="F348" s="16">
        <v>0.55000000000000004</v>
      </c>
      <c r="G348" s="14">
        <v>12570</v>
      </c>
      <c r="H348" s="14" t="s">
        <v>10</v>
      </c>
      <c r="I348" s="16">
        <f t="shared" si="25"/>
        <v>2.75</v>
      </c>
      <c r="J348" s="14" t="str">
        <f t="shared" si="26"/>
        <v>May</v>
      </c>
      <c r="K348" s="14">
        <f t="shared" si="28"/>
        <v>2024</v>
      </c>
      <c r="L348" s="14" t="str">
        <f t="shared" si="29"/>
        <v>Completed</v>
      </c>
      <c r="M348" s="18" t="str">
        <f t="shared" si="27"/>
        <v>Wholesale</v>
      </c>
    </row>
    <row r="349" spans="1:13" ht="15" thickBot="1" x14ac:dyDescent="0.35">
      <c r="A349" s="17">
        <v>50348</v>
      </c>
      <c r="B349" s="14" t="s">
        <v>33</v>
      </c>
      <c r="C349" s="14" t="s">
        <v>34</v>
      </c>
      <c r="D349" s="14">
        <v>1</v>
      </c>
      <c r="E349" s="15">
        <v>45500.40625</v>
      </c>
      <c r="F349" s="16">
        <v>18.79</v>
      </c>
      <c r="G349" s="14">
        <v>12611</v>
      </c>
      <c r="H349" s="14" t="s">
        <v>20</v>
      </c>
      <c r="I349" s="16">
        <f t="shared" si="25"/>
        <v>18.79</v>
      </c>
      <c r="J349" s="14" t="str">
        <f t="shared" si="26"/>
        <v>Jul</v>
      </c>
      <c r="K349" s="14">
        <f t="shared" si="28"/>
        <v>2024</v>
      </c>
      <c r="L349" s="14" t="str">
        <f t="shared" si="29"/>
        <v>Completed</v>
      </c>
      <c r="M349" s="18" t="str">
        <f t="shared" si="27"/>
        <v>New</v>
      </c>
    </row>
    <row r="350" spans="1:13" ht="15" thickBot="1" x14ac:dyDescent="0.35">
      <c r="A350" s="17">
        <v>50349</v>
      </c>
      <c r="B350" s="14">
        <v>22086</v>
      </c>
      <c r="C350" s="14" t="s">
        <v>41</v>
      </c>
      <c r="D350" s="14">
        <v>10</v>
      </c>
      <c r="E350" s="15">
        <v>45489.341666666667</v>
      </c>
      <c r="F350" s="16">
        <v>3.31</v>
      </c>
      <c r="G350" s="14">
        <v>12742</v>
      </c>
      <c r="H350" s="14" t="s">
        <v>10</v>
      </c>
      <c r="I350" s="16">
        <f t="shared" si="25"/>
        <v>33.1</v>
      </c>
      <c r="J350" s="14" t="str">
        <f t="shared" si="26"/>
        <v>Jul</v>
      </c>
      <c r="K350" s="14">
        <f t="shared" si="28"/>
        <v>2024</v>
      </c>
      <c r="L350" s="14" t="str">
        <f t="shared" si="29"/>
        <v>Completed</v>
      </c>
      <c r="M350" s="18" t="str">
        <f t="shared" si="27"/>
        <v>Returning</v>
      </c>
    </row>
    <row r="351" spans="1:13" ht="15" thickBot="1" x14ac:dyDescent="0.35">
      <c r="A351" s="17">
        <v>50350</v>
      </c>
      <c r="B351" s="14">
        <v>22423</v>
      </c>
      <c r="C351" s="14" t="s">
        <v>36</v>
      </c>
      <c r="D351" s="14">
        <v>6</v>
      </c>
      <c r="E351" s="15">
        <v>45584.703472222223</v>
      </c>
      <c r="F351" s="16">
        <v>11.59</v>
      </c>
      <c r="G351" s="14">
        <v>12275</v>
      </c>
      <c r="H351" s="14" t="s">
        <v>22</v>
      </c>
      <c r="I351" s="16">
        <f t="shared" si="25"/>
        <v>69.539999999999992</v>
      </c>
      <c r="J351" s="14" t="str">
        <f t="shared" si="26"/>
        <v>Oct</v>
      </c>
      <c r="K351" s="14">
        <f t="shared" si="28"/>
        <v>2024</v>
      </c>
      <c r="L351" s="14" t="str">
        <f t="shared" si="29"/>
        <v>Completed</v>
      </c>
      <c r="M351" s="18" t="str">
        <f t="shared" si="27"/>
        <v>New</v>
      </c>
    </row>
    <row r="352" spans="1:13" ht="15" thickBot="1" x14ac:dyDescent="0.35">
      <c r="A352" s="17">
        <v>50351</v>
      </c>
      <c r="B352" s="14">
        <v>47566</v>
      </c>
      <c r="C352" s="14" t="s">
        <v>27</v>
      </c>
      <c r="D352" s="14">
        <v>3</v>
      </c>
      <c r="E352" s="15">
        <v>45544.436805555553</v>
      </c>
      <c r="F352" s="16">
        <v>4.6900000000000004</v>
      </c>
      <c r="G352" s="14">
        <v>12306</v>
      </c>
      <c r="H352" s="14" t="s">
        <v>28</v>
      </c>
      <c r="I352" s="16">
        <f t="shared" si="25"/>
        <v>14.07</v>
      </c>
      <c r="J352" s="14" t="str">
        <f t="shared" si="26"/>
        <v>Sep</v>
      </c>
      <c r="K352" s="14">
        <f t="shared" si="28"/>
        <v>2024</v>
      </c>
      <c r="L352" s="14" t="str">
        <f t="shared" si="29"/>
        <v>Completed</v>
      </c>
      <c r="M352" s="18" t="str">
        <f t="shared" si="27"/>
        <v>Wholesale</v>
      </c>
    </row>
    <row r="353" spans="1:13" ht="15" thickBot="1" x14ac:dyDescent="0.35">
      <c r="A353" s="17">
        <v>50352</v>
      </c>
      <c r="B353" s="14" t="s">
        <v>12</v>
      </c>
      <c r="C353" s="14" t="s">
        <v>13</v>
      </c>
      <c r="D353" s="14">
        <v>8</v>
      </c>
      <c r="E353" s="15">
        <v>45476.511805555558</v>
      </c>
      <c r="F353" s="16">
        <v>2.81</v>
      </c>
      <c r="G353" s="14">
        <v>12631</v>
      </c>
      <c r="H353" s="14" t="s">
        <v>37</v>
      </c>
      <c r="I353" s="16">
        <f t="shared" si="25"/>
        <v>22.48</v>
      </c>
      <c r="J353" s="14" t="str">
        <f t="shared" si="26"/>
        <v>Jul</v>
      </c>
      <c r="K353" s="14">
        <f t="shared" si="28"/>
        <v>2024</v>
      </c>
      <c r="L353" s="14" t="str">
        <f t="shared" si="29"/>
        <v>Completed</v>
      </c>
      <c r="M353" s="18" t="str">
        <f t="shared" si="27"/>
        <v>New</v>
      </c>
    </row>
    <row r="354" spans="1:13" ht="15" thickBot="1" x14ac:dyDescent="0.35">
      <c r="A354" s="17" t="s">
        <v>70</v>
      </c>
      <c r="B354" s="14">
        <v>20725</v>
      </c>
      <c r="C354" s="14" t="s">
        <v>19</v>
      </c>
      <c r="D354" s="14">
        <v>-7</v>
      </c>
      <c r="E354" s="15">
        <v>45346.429166666669</v>
      </c>
      <c r="F354" s="16">
        <v>1.59</v>
      </c>
      <c r="G354" s="14">
        <v>12635</v>
      </c>
      <c r="H354" s="14" t="s">
        <v>26</v>
      </c>
      <c r="I354" s="16">
        <f t="shared" si="25"/>
        <v>-11.13</v>
      </c>
      <c r="J354" s="14" t="str">
        <f t="shared" si="26"/>
        <v>Feb</v>
      </c>
      <c r="K354" s="14">
        <f t="shared" si="28"/>
        <v>2024</v>
      </c>
      <c r="L354" s="14" t="str">
        <f t="shared" si="29"/>
        <v>Cancelled</v>
      </c>
      <c r="M354" s="18" t="str">
        <f t="shared" si="27"/>
        <v>New</v>
      </c>
    </row>
    <row r="355" spans="1:13" ht="15" thickBot="1" x14ac:dyDescent="0.35">
      <c r="A355" s="17">
        <v>50354</v>
      </c>
      <c r="B355" s="14">
        <v>22086</v>
      </c>
      <c r="C355" s="14" t="s">
        <v>41</v>
      </c>
      <c r="D355" s="14">
        <v>14</v>
      </c>
      <c r="E355" s="15">
        <v>45517.570833333331</v>
      </c>
      <c r="F355" s="16">
        <v>3.39</v>
      </c>
      <c r="G355" s="14">
        <v>12997</v>
      </c>
      <c r="H355" s="14" t="s">
        <v>20</v>
      </c>
      <c r="I355" s="16">
        <f t="shared" si="25"/>
        <v>47.46</v>
      </c>
      <c r="J355" s="14" t="str">
        <f t="shared" si="26"/>
        <v>Aug</v>
      </c>
      <c r="K355" s="14">
        <f t="shared" si="28"/>
        <v>2024</v>
      </c>
      <c r="L355" s="14" t="str">
        <f t="shared" si="29"/>
        <v>Completed</v>
      </c>
      <c r="M355" s="18" t="str">
        <f t="shared" si="27"/>
        <v>New</v>
      </c>
    </row>
    <row r="356" spans="1:13" ht="15" thickBot="1" x14ac:dyDescent="0.35">
      <c r="A356" s="17">
        <v>50355</v>
      </c>
      <c r="B356" s="14">
        <v>84879</v>
      </c>
      <c r="C356" s="14" t="s">
        <v>45</v>
      </c>
      <c r="D356" s="14">
        <v>20</v>
      </c>
      <c r="E356" s="15">
        <v>45445.561111111114</v>
      </c>
      <c r="F356" s="16">
        <v>1.56</v>
      </c>
      <c r="G356" s="14">
        <v>12321</v>
      </c>
      <c r="H356" s="14" t="s">
        <v>23</v>
      </c>
      <c r="I356" s="16">
        <f t="shared" si="25"/>
        <v>31.200000000000003</v>
      </c>
      <c r="J356" s="14" t="str">
        <f t="shared" si="26"/>
        <v>Jun</v>
      </c>
      <c r="K356" s="14">
        <f t="shared" si="28"/>
        <v>2024</v>
      </c>
      <c r="L356" s="14" t="str">
        <f t="shared" si="29"/>
        <v>Completed</v>
      </c>
      <c r="M356" s="18" t="str">
        <f t="shared" si="27"/>
        <v>Wholesale</v>
      </c>
    </row>
    <row r="357" spans="1:13" ht="15" thickBot="1" x14ac:dyDescent="0.35">
      <c r="A357" s="17">
        <v>50356</v>
      </c>
      <c r="B357" s="14">
        <v>22386</v>
      </c>
      <c r="C357" s="14" t="s">
        <v>29</v>
      </c>
      <c r="D357" s="14">
        <v>24</v>
      </c>
      <c r="E357" s="15">
        <v>45455.540277777778</v>
      </c>
      <c r="F357" s="16">
        <v>1.99</v>
      </c>
      <c r="G357" s="14">
        <v>12589</v>
      </c>
      <c r="H357" s="14" t="s">
        <v>37</v>
      </c>
      <c r="I357" s="16">
        <f t="shared" si="25"/>
        <v>47.76</v>
      </c>
      <c r="J357" s="14" t="str">
        <f t="shared" si="26"/>
        <v>Jun</v>
      </c>
      <c r="K357" s="14">
        <f t="shared" si="28"/>
        <v>2024</v>
      </c>
      <c r="L357" s="14" t="str">
        <f t="shared" si="29"/>
        <v>Completed</v>
      </c>
      <c r="M357" s="18" t="str">
        <f t="shared" si="27"/>
        <v>New</v>
      </c>
    </row>
    <row r="358" spans="1:13" ht="15" thickBot="1" x14ac:dyDescent="0.35">
      <c r="A358" s="17">
        <v>50357</v>
      </c>
      <c r="B358" s="14">
        <v>22086</v>
      </c>
      <c r="C358" s="14" t="s">
        <v>41</v>
      </c>
      <c r="D358" s="14">
        <v>13</v>
      </c>
      <c r="E358" s="15">
        <v>45484.532638888886</v>
      </c>
      <c r="F358" s="16">
        <v>3.47</v>
      </c>
      <c r="G358" s="14">
        <v>12204</v>
      </c>
      <c r="H358" s="14" t="s">
        <v>20</v>
      </c>
      <c r="I358" s="16">
        <f t="shared" si="25"/>
        <v>45.11</v>
      </c>
      <c r="J358" s="14" t="str">
        <f t="shared" si="26"/>
        <v>Jul</v>
      </c>
      <c r="K358" s="14">
        <f t="shared" si="28"/>
        <v>2024</v>
      </c>
      <c r="L358" s="14" t="str">
        <f t="shared" si="29"/>
        <v>Completed</v>
      </c>
      <c r="M358" s="18" t="str">
        <f t="shared" si="27"/>
        <v>Wholesale</v>
      </c>
    </row>
    <row r="359" spans="1:13" ht="15" thickBot="1" x14ac:dyDescent="0.35">
      <c r="A359" s="17">
        <v>50358</v>
      </c>
      <c r="B359" s="14" t="s">
        <v>15</v>
      </c>
      <c r="C359" s="14" t="s">
        <v>16</v>
      </c>
      <c r="D359" s="14">
        <v>1</v>
      </c>
      <c r="E359" s="15">
        <v>45384.724305555559</v>
      </c>
      <c r="F359" s="16">
        <v>2.98</v>
      </c>
      <c r="G359" s="14">
        <v>12725</v>
      </c>
      <c r="H359" s="14" t="s">
        <v>37</v>
      </c>
      <c r="I359" s="16">
        <f t="shared" si="25"/>
        <v>2.98</v>
      </c>
      <c r="J359" s="14" t="str">
        <f t="shared" si="26"/>
        <v>Apr</v>
      </c>
      <c r="K359" s="14">
        <f t="shared" si="28"/>
        <v>2024</v>
      </c>
      <c r="L359" s="14" t="str">
        <f t="shared" si="29"/>
        <v>Completed</v>
      </c>
      <c r="M359" s="18" t="str">
        <f t="shared" si="27"/>
        <v>New</v>
      </c>
    </row>
    <row r="360" spans="1:13" ht="15" thickBot="1" x14ac:dyDescent="0.35">
      <c r="A360" s="17">
        <v>50359</v>
      </c>
      <c r="B360" s="14">
        <v>20725</v>
      </c>
      <c r="C360" s="14" t="s">
        <v>19</v>
      </c>
      <c r="D360" s="14">
        <v>14</v>
      </c>
      <c r="E360" s="15">
        <v>45441.381944444445</v>
      </c>
      <c r="F360" s="16">
        <v>1.48</v>
      </c>
      <c r="G360" s="14">
        <v>12310</v>
      </c>
      <c r="H360" s="14" t="s">
        <v>37</v>
      </c>
      <c r="I360" s="16">
        <f t="shared" si="25"/>
        <v>20.72</v>
      </c>
      <c r="J360" s="14" t="str">
        <f t="shared" si="26"/>
        <v>May</v>
      </c>
      <c r="K360" s="14">
        <f t="shared" si="28"/>
        <v>2024</v>
      </c>
      <c r="L360" s="14" t="str">
        <f t="shared" si="29"/>
        <v>Completed</v>
      </c>
      <c r="M360" s="18" t="str">
        <f t="shared" si="27"/>
        <v>Returning</v>
      </c>
    </row>
    <row r="361" spans="1:13" ht="15" thickBot="1" x14ac:dyDescent="0.35">
      <c r="A361" s="17">
        <v>50360</v>
      </c>
      <c r="B361" s="14">
        <v>47566</v>
      </c>
      <c r="C361" s="14" t="s">
        <v>27</v>
      </c>
      <c r="D361" s="14">
        <v>23</v>
      </c>
      <c r="E361" s="15">
        <v>45629.442361111112</v>
      </c>
      <c r="F361" s="16">
        <v>4.8600000000000003</v>
      </c>
      <c r="G361" s="14">
        <v>12459</v>
      </c>
      <c r="H361" s="14" t="s">
        <v>20</v>
      </c>
      <c r="I361" s="16">
        <f t="shared" si="25"/>
        <v>111.78</v>
      </c>
      <c r="J361" s="14" t="str">
        <f t="shared" si="26"/>
        <v>Dec</v>
      </c>
      <c r="K361" s="14">
        <f t="shared" si="28"/>
        <v>2024</v>
      </c>
      <c r="L361" s="14" t="str">
        <f t="shared" si="29"/>
        <v>Completed</v>
      </c>
      <c r="M361" s="18" t="str">
        <f t="shared" si="27"/>
        <v>Wholesale</v>
      </c>
    </row>
    <row r="362" spans="1:13" ht="15" thickBot="1" x14ac:dyDescent="0.35">
      <c r="A362" s="17">
        <v>50361</v>
      </c>
      <c r="B362" s="14">
        <v>23203</v>
      </c>
      <c r="C362" s="14" t="s">
        <v>30</v>
      </c>
      <c r="D362" s="14">
        <v>18</v>
      </c>
      <c r="E362" s="15">
        <v>45590.618055555555</v>
      </c>
      <c r="F362" s="16">
        <v>2.44</v>
      </c>
      <c r="G362" s="14">
        <v>12708</v>
      </c>
      <c r="H362" s="14" t="s">
        <v>26</v>
      </c>
      <c r="I362" s="16">
        <f t="shared" si="25"/>
        <v>43.92</v>
      </c>
      <c r="J362" s="14" t="str">
        <f t="shared" si="26"/>
        <v>Oct</v>
      </c>
      <c r="K362" s="14">
        <f t="shared" si="28"/>
        <v>2024</v>
      </c>
      <c r="L362" s="14" t="str">
        <f t="shared" si="29"/>
        <v>Completed</v>
      </c>
      <c r="M362" s="18" t="str">
        <f t="shared" si="27"/>
        <v>Wholesale</v>
      </c>
    </row>
    <row r="363" spans="1:13" ht="15" thickBot="1" x14ac:dyDescent="0.35">
      <c r="A363" s="17">
        <v>50362</v>
      </c>
      <c r="B363" s="14" t="s">
        <v>15</v>
      </c>
      <c r="C363" s="14" t="s">
        <v>16</v>
      </c>
      <c r="D363" s="14">
        <v>23</v>
      </c>
      <c r="E363" s="15">
        <v>45310.588888888888</v>
      </c>
      <c r="F363" s="16">
        <v>3.06</v>
      </c>
      <c r="G363" s="14">
        <v>12653</v>
      </c>
      <c r="H363" s="14" t="s">
        <v>24</v>
      </c>
      <c r="I363" s="16">
        <f t="shared" si="25"/>
        <v>70.38</v>
      </c>
      <c r="J363" s="14" t="str">
        <f t="shared" si="26"/>
        <v>Jan</v>
      </c>
      <c r="K363" s="14">
        <f t="shared" si="28"/>
        <v>2024</v>
      </c>
      <c r="L363" s="14" t="str">
        <f t="shared" si="29"/>
        <v>Completed</v>
      </c>
      <c r="M363" s="18" t="str">
        <f t="shared" si="27"/>
        <v>New</v>
      </c>
    </row>
    <row r="364" spans="1:13" ht="15" thickBot="1" x14ac:dyDescent="0.35">
      <c r="A364" s="17">
        <v>50363</v>
      </c>
      <c r="B364" s="14" t="s">
        <v>8</v>
      </c>
      <c r="C364" s="14" t="s">
        <v>9</v>
      </c>
      <c r="D364" s="14">
        <v>6</v>
      </c>
      <c r="E364" s="15">
        <v>45419.585416666669</v>
      </c>
      <c r="F364" s="16">
        <v>2.93</v>
      </c>
      <c r="G364" s="14">
        <v>12660</v>
      </c>
      <c r="H364" s="14" t="s">
        <v>26</v>
      </c>
      <c r="I364" s="16">
        <f t="shared" si="25"/>
        <v>17.580000000000002</v>
      </c>
      <c r="J364" s="14" t="str">
        <f t="shared" si="26"/>
        <v>May</v>
      </c>
      <c r="K364" s="14">
        <f t="shared" si="28"/>
        <v>2024</v>
      </c>
      <c r="L364" s="14" t="str">
        <f t="shared" si="29"/>
        <v>Completed</v>
      </c>
      <c r="M364" s="18" t="str">
        <f t="shared" si="27"/>
        <v>Wholesale</v>
      </c>
    </row>
    <row r="365" spans="1:13" ht="15" thickBot="1" x14ac:dyDescent="0.35">
      <c r="A365" s="17">
        <v>50364</v>
      </c>
      <c r="B365" s="14">
        <v>22086</v>
      </c>
      <c r="C365" s="14" t="s">
        <v>41</v>
      </c>
      <c r="D365" s="14">
        <v>1</v>
      </c>
      <c r="E365" s="15">
        <v>45512.408333333333</v>
      </c>
      <c r="F365" s="16">
        <v>2.74</v>
      </c>
      <c r="G365" s="14">
        <v>12764</v>
      </c>
      <c r="H365" s="14" t="s">
        <v>10</v>
      </c>
      <c r="I365" s="16">
        <f t="shared" si="25"/>
        <v>2.74</v>
      </c>
      <c r="J365" s="14" t="str">
        <f t="shared" si="26"/>
        <v>Aug</v>
      </c>
      <c r="K365" s="14">
        <f t="shared" si="28"/>
        <v>2024</v>
      </c>
      <c r="L365" s="14" t="str">
        <f t="shared" si="29"/>
        <v>Completed</v>
      </c>
      <c r="M365" s="18" t="str">
        <f t="shared" si="27"/>
        <v>Returning</v>
      </c>
    </row>
    <row r="366" spans="1:13" ht="15" thickBot="1" x14ac:dyDescent="0.35">
      <c r="A366" s="17">
        <v>50365</v>
      </c>
      <c r="B366" s="14" t="s">
        <v>15</v>
      </c>
      <c r="C366" s="14" t="s">
        <v>16</v>
      </c>
      <c r="D366" s="14">
        <v>8</v>
      </c>
      <c r="E366" s="15">
        <v>45589.742361111108</v>
      </c>
      <c r="F366" s="16">
        <v>2.91</v>
      </c>
      <c r="G366" s="14">
        <v>12790</v>
      </c>
      <c r="H366" s="14" t="s">
        <v>20</v>
      </c>
      <c r="I366" s="16">
        <f t="shared" si="25"/>
        <v>23.28</v>
      </c>
      <c r="J366" s="14" t="str">
        <f t="shared" si="26"/>
        <v>Oct</v>
      </c>
      <c r="K366" s="14">
        <f t="shared" si="28"/>
        <v>2024</v>
      </c>
      <c r="L366" s="14" t="str">
        <f t="shared" si="29"/>
        <v>Completed</v>
      </c>
      <c r="M366" s="18" t="str">
        <f t="shared" si="27"/>
        <v>Returning</v>
      </c>
    </row>
    <row r="367" spans="1:13" ht="15" thickBot="1" x14ac:dyDescent="0.35">
      <c r="A367" s="17">
        <v>50366</v>
      </c>
      <c r="B367" s="14" t="s">
        <v>33</v>
      </c>
      <c r="C367" s="14" t="s">
        <v>34</v>
      </c>
      <c r="D367" s="14">
        <v>1</v>
      </c>
      <c r="E367" s="15">
        <v>45369.578472222223</v>
      </c>
      <c r="F367" s="16">
        <v>17.16</v>
      </c>
      <c r="G367" s="14">
        <v>12942</v>
      </c>
      <c r="H367" s="14" t="s">
        <v>24</v>
      </c>
      <c r="I367" s="16">
        <f t="shared" si="25"/>
        <v>17.16</v>
      </c>
      <c r="J367" s="14" t="str">
        <f t="shared" si="26"/>
        <v>Mar</v>
      </c>
      <c r="K367" s="14">
        <f t="shared" si="28"/>
        <v>2024</v>
      </c>
      <c r="L367" s="14" t="str">
        <f t="shared" si="29"/>
        <v>Completed</v>
      </c>
      <c r="M367" s="18" t="str">
        <f t="shared" si="27"/>
        <v>Wholesale</v>
      </c>
    </row>
    <row r="368" spans="1:13" ht="15" thickBot="1" x14ac:dyDescent="0.35">
      <c r="A368" s="17">
        <v>50367</v>
      </c>
      <c r="B368" s="14" t="s">
        <v>8</v>
      </c>
      <c r="C368" s="14" t="s">
        <v>9</v>
      </c>
      <c r="D368" s="14">
        <v>10</v>
      </c>
      <c r="E368" s="15">
        <v>45364.580555555556</v>
      </c>
      <c r="F368" s="16">
        <v>3.81</v>
      </c>
      <c r="G368" s="14">
        <v>12533</v>
      </c>
      <c r="H368" s="14" t="s">
        <v>28</v>
      </c>
      <c r="I368" s="16">
        <f t="shared" si="25"/>
        <v>38.1</v>
      </c>
      <c r="J368" s="14" t="str">
        <f t="shared" si="26"/>
        <v>Mar</v>
      </c>
      <c r="K368" s="14">
        <f t="shared" si="28"/>
        <v>2024</v>
      </c>
      <c r="L368" s="14" t="str">
        <f t="shared" si="29"/>
        <v>Completed</v>
      </c>
      <c r="M368" s="18" t="str">
        <f t="shared" si="27"/>
        <v>New</v>
      </c>
    </row>
    <row r="369" spans="1:13" ht="15" thickBot="1" x14ac:dyDescent="0.35">
      <c r="A369" s="17">
        <v>50368</v>
      </c>
      <c r="B369" s="14">
        <v>21212</v>
      </c>
      <c r="C369" s="14" t="s">
        <v>21</v>
      </c>
      <c r="D369" s="14">
        <v>15</v>
      </c>
      <c r="E369" s="15">
        <v>45535.402083333334</v>
      </c>
      <c r="F369" s="16">
        <v>0.55000000000000004</v>
      </c>
      <c r="G369" s="14">
        <v>12068</v>
      </c>
      <c r="H369" s="14" t="s">
        <v>22</v>
      </c>
      <c r="I369" s="16">
        <f t="shared" si="25"/>
        <v>8.25</v>
      </c>
      <c r="J369" s="14" t="str">
        <f t="shared" si="26"/>
        <v>Aug</v>
      </c>
      <c r="K369" s="14">
        <f t="shared" si="28"/>
        <v>2024</v>
      </c>
      <c r="L369" s="14" t="str">
        <f t="shared" si="29"/>
        <v>Completed</v>
      </c>
      <c r="M369" s="18" t="str">
        <f t="shared" si="27"/>
        <v>Returning</v>
      </c>
    </row>
    <row r="370" spans="1:13" ht="15" thickBot="1" x14ac:dyDescent="0.35">
      <c r="A370" s="17">
        <v>50369</v>
      </c>
      <c r="B370" s="14">
        <v>71053</v>
      </c>
      <c r="C370" s="14" t="s">
        <v>38</v>
      </c>
      <c r="D370" s="14">
        <v>1</v>
      </c>
      <c r="E370" s="15">
        <v>45655.414583333331</v>
      </c>
      <c r="F370" s="16">
        <v>3.65</v>
      </c>
      <c r="G370" s="14">
        <v>12693</v>
      </c>
      <c r="H370" s="14" t="s">
        <v>23</v>
      </c>
      <c r="I370" s="16">
        <f t="shared" si="25"/>
        <v>3.65</v>
      </c>
      <c r="J370" s="14" t="str">
        <f t="shared" si="26"/>
        <v>Dec</v>
      </c>
      <c r="K370" s="14">
        <f t="shared" si="28"/>
        <v>2024</v>
      </c>
      <c r="L370" s="14" t="str">
        <f t="shared" si="29"/>
        <v>Completed</v>
      </c>
      <c r="M370" s="18" t="str">
        <f t="shared" si="27"/>
        <v>Wholesale</v>
      </c>
    </row>
    <row r="371" spans="1:13" ht="15" thickBot="1" x14ac:dyDescent="0.35">
      <c r="A371" s="17">
        <v>50370</v>
      </c>
      <c r="B371" s="14">
        <v>22423</v>
      </c>
      <c r="C371" s="14" t="s">
        <v>36</v>
      </c>
      <c r="D371" s="14">
        <v>18</v>
      </c>
      <c r="E371" s="15">
        <v>45556.456944444442</v>
      </c>
      <c r="F371" s="16">
        <v>13.34</v>
      </c>
      <c r="G371" s="14">
        <v>12981</v>
      </c>
      <c r="H371" s="14" t="s">
        <v>28</v>
      </c>
      <c r="I371" s="16">
        <f t="shared" si="25"/>
        <v>240.12</v>
      </c>
      <c r="J371" s="14" t="str">
        <f t="shared" si="26"/>
        <v>Sep</v>
      </c>
      <c r="K371" s="14">
        <f t="shared" si="28"/>
        <v>2024</v>
      </c>
      <c r="L371" s="14" t="str">
        <f t="shared" si="29"/>
        <v>Completed</v>
      </c>
      <c r="M371" s="18" t="str">
        <f t="shared" si="27"/>
        <v>Wholesale</v>
      </c>
    </row>
    <row r="372" spans="1:13" ht="15" thickBot="1" x14ac:dyDescent="0.35">
      <c r="A372" s="17">
        <v>50371</v>
      </c>
      <c r="B372" s="14">
        <v>22423</v>
      </c>
      <c r="C372" s="14" t="s">
        <v>36</v>
      </c>
      <c r="D372" s="14">
        <v>6</v>
      </c>
      <c r="E372" s="15">
        <v>45499.463888888888</v>
      </c>
      <c r="F372" s="16">
        <v>12.77</v>
      </c>
      <c r="G372" s="14">
        <v>12029</v>
      </c>
      <c r="H372" s="14" t="s">
        <v>20</v>
      </c>
      <c r="I372" s="16">
        <f t="shared" si="25"/>
        <v>76.62</v>
      </c>
      <c r="J372" s="14" t="str">
        <f t="shared" si="26"/>
        <v>Jul</v>
      </c>
      <c r="K372" s="14">
        <f t="shared" si="28"/>
        <v>2024</v>
      </c>
      <c r="L372" s="14" t="str">
        <f t="shared" si="29"/>
        <v>Completed</v>
      </c>
      <c r="M372" s="18" t="str">
        <f t="shared" si="27"/>
        <v>New</v>
      </c>
    </row>
    <row r="373" spans="1:13" ht="15" thickBot="1" x14ac:dyDescent="0.35">
      <c r="A373" s="17" t="s">
        <v>71</v>
      </c>
      <c r="B373" s="14">
        <v>22727</v>
      </c>
      <c r="C373" s="14" t="s">
        <v>46</v>
      </c>
      <c r="D373" s="14">
        <v>-4</v>
      </c>
      <c r="E373" s="15">
        <v>45522.638194444444</v>
      </c>
      <c r="F373" s="16">
        <v>3.46</v>
      </c>
      <c r="G373" s="14">
        <v>12770</v>
      </c>
      <c r="H373" s="14" t="s">
        <v>24</v>
      </c>
      <c r="I373" s="16">
        <f t="shared" si="25"/>
        <v>-13.84</v>
      </c>
      <c r="J373" s="14" t="str">
        <f t="shared" si="26"/>
        <v>Aug</v>
      </c>
      <c r="K373" s="14">
        <f t="shared" si="28"/>
        <v>2024</v>
      </c>
      <c r="L373" s="14" t="str">
        <f t="shared" si="29"/>
        <v>Cancelled</v>
      </c>
      <c r="M373" s="18" t="str">
        <f t="shared" si="27"/>
        <v>Returning</v>
      </c>
    </row>
    <row r="374" spans="1:13" ht="15" thickBot="1" x14ac:dyDescent="0.35">
      <c r="A374" s="17">
        <v>50373</v>
      </c>
      <c r="B374" s="14" t="s">
        <v>43</v>
      </c>
      <c r="C374" s="14" t="s">
        <v>44</v>
      </c>
      <c r="D374" s="14">
        <v>6</v>
      </c>
      <c r="E374" s="15">
        <v>45344.714583333334</v>
      </c>
      <c r="F374" s="16">
        <v>1.1499999999999999</v>
      </c>
      <c r="G374" s="14">
        <v>12116</v>
      </c>
      <c r="H374" s="14" t="s">
        <v>22</v>
      </c>
      <c r="I374" s="16">
        <f t="shared" si="25"/>
        <v>6.8999999999999995</v>
      </c>
      <c r="J374" s="14" t="str">
        <f t="shared" si="26"/>
        <v>Feb</v>
      </c>
      <c r="K374" s="14">
        <f t="shared" si="28"/>
        <v>2024</v>
      </c>
      <c r="L374" s="14" t="str">
        <f t="shared" si="29"/>
        <v>Completed</v>
      </c>
      <c r="M374" s="18" t="str">
        <f t="shared" si="27"/>
        <v>Returning</v>
      </c>
    </row>
    <row r="375" spans="1:13" ht="15" thickBot="1" x14ac:dyDescent="0.35">
      <c r="A375" s="17">
        <v>50374</v>
      </c>
      <c r="B375" s="14">
        <v>23203</v>
      </c>
      <c r="C375" s="14" t="s">
        <v>30</v>
      </c>
      <c r="D375" s="14">
        <v>20</v>
      </c>
      <c r="E375" s="15">
        <v>45562.555555555555</v>
      </c>
      <c r="F375" s="16">
        <v>2.0499999999999998</v>
      </c>
      <c r="G375" s="14">
        <v>12116</v>
      </c>
      <c r="H375" s="14" t="s">
        <v>18</v>
      </c>
      <c r="I375" s="16">
        <f t="shared" si="25"/>
        <v>41</v>
      </c>
      <c r="J375" s="14" t="str">
        <f t="shared" si="26"/>
        <v>Sep</v>
      </c>
      <c r="K375" s="14">
        <f t="shared" si="28"/>
        <v>2024</v>
      </c>
      <c r="L375" s="14" t="str">
        <f t="shared" si="29"/>
        <v>Completed</v>
      </c>
      <c r="M375" s="18" t="str">
        <f t="shared" si="27"/>
        <v>Returning</v>
      </c>
    </row>
    <row r="376" spans="1:13" ht="15" thickBot="1" x14ac:dyDescent="0.35">
      <c r="A376" s="17">
        <v>50375</v>
      </c>
      <c r="B376" s="14">
        <v>21212</v>
      </c>
      <c r="C376" s="14" t="s">
        <v>21</v>
      </c>
      <c r="D376" s="14">
        <v>22</v>
      </c>
      <c r="E376" s="15">
        <v>45526.455555555556</v>
      </c>
      <c r="F376" s="16">
        <v>0.52</v>
      </c>
      <c r="G376" s="14">
        <v>12629</v>
      </c>
      <c r="H376" s="14" t="s">
        <v>20</v>
      </c>
      <c r="I376" s="16">
        <f t="shared" si="25"/>
        <v>11.440000000000001</v>
      </c>
      <c r="J376" s="14" t="str">
        <f t="shared" si="26"/>
        <v>Aug</v>
      </c>
      <c r="K376" s="14">
        <f t="shared" si="28"/>
        <v>2024</v>
      </c>
      <c r="L376" s="14" t="str">
        <f t="shared" si="29"/>
        <v>Completed</v>
      </c>
      <c r="M376" s="18" t="str">
        <f t="shared" si="27"/>
        <v>New</v>
      </c>
    </row>
    <row r="377" spans="1:13" ht="15" thickBot="1" x14ac:dyDescent="0.35">
      <c r="A377" s="17">
        <v>50376</v>
      </c>
      <c r="B377" s="14" t="s">
        <v>12</v>
      </c>
      <c r="C377" s="14" t="s">
        <v>13</v>
      </c>
      <c r="D377" s="14">
        <v>11</v>
      </c>
      <c r="E377" s="15">
        <v>45636.428472222222</v>
      </c>
      <c r="F377" s="16">
        <v>2.63</v>
      </c>
      <c r="G377" s="14">
        <v>12187</v>
      </c>
      <c r="H377" s="14" t="s">
        <v>18</v>
      </c>
      <c r="I377" s="16">
        <f t="shared" si="25"/>
        <v>28.93</v>
      </c>
      <c r="J377" s="14" t="str">
        <f t="shared" si="26"/>
        <v>Dec</v>
      </c>
      <c r="K377" s="14">
        <f t="shared" si="28"/>
        <v>2024</v>
      </c>
      <c r="L377" s="14" t="str">
        <f t="shared" si="29"/>
        <v>Completed</v>
      </c>
      <c r="M377" s="18" t="str">
        <f t="shared" si="27"/>
        <v>New</v>
      </c>
    </row>
    <row r="378" spans="1:13" ht="15" thickBot="1" x14ac:dyDescent="0.35">
      <c r="A378" s="17">
        <v>50377</v>
      </c>
      <c r="B378" s="14">
        <v>84879</v>
      </c>
      <c r="C378" s="14" t="s">
        <v>45</v>
      </c>
      <c r="D378" s="14">
        <v>14</v>
      </c>
      <c r="E378" s="15">
        <v>45553.609027777777</v>
      </c>
      <c r="F378" s="16">
        <v>1.78</v>
      </c>
      <c r="G378" s="14">
        <v>12433</v>
      </c>
      <c r="H378" s="14" t="s">
        <v>23</v>
      </c>
      <c r="I378" s="16">
        <f t="shared" si="25"/>
        <v>24.92</v>
      </c>
      <c r="J378" s="14" t="str">
        <f t="shared" si="26"/>
        <v>Sep</v>
      </c>
      <c r="K378" s="14">
        <f t="shared" si="28"/>
        <v>2024</v>
      </c>
      <c r="L378" s="14" t="str">
        <f t="shared" si="29"/>
        <v>Completed</v>
      </c>
      <c r="M378" s="18" t="str">
        <f t="shared" si="27"/>
        <v>New</v>
      </c>
    </row>
    <row r="379" spans="1:13" ht="15" thickBot="1" x14ac:dyDescent="0.35">
      <c r="A379" s="17">
        <v>50378</v>
      </c>
      <c r="B379" s="14">
        <v>23203</v>
      </c>
      <c r="C379" s="14" t="s">
        <v>30</v>
      </c>
      <c r="D379" s="14">
        <v>23</v>
      </c>
      <c r="E379" s="15">
        <v>45617.715277777781</v>
      </c>
      <c r="F379" s="16">
        <v>2.4500000000000002</v>
      </c>
      <c r="G379" s="14">
        <v>12177</v>
      </c>
      <c r="H379" s="14" t="s">
        <v>10</v>
      </c>
      <c r="I379" s="16">
        <f t="shared" si="25"/>
        <v>56.35</v>
      </c>
      <c r="J379" s="14" t="str">
        <f t="shared" si="26"/>
        <v>Nov</v>
      </c>
      <c r="K379" s="14">
        <f t="shared" si="28"/>
        <v>2024</v>
      </c>
      <c r="L379" s="14" t="str">
        <f t="shared" si="29"/>
        <v>Completed</v>
      </c>
      <c r="M379" s="18" t="str">
        <f t="shared" si="27"/>
        <v>Wholesale</v>
      </c>
    </row>
    <row r="380" spans="1:13" ht="15" thickBot="1" x14ac:dyDescent="0.35">
      <c r="A380" s="17">
        <v>50379</v>
      </c>
      <c r="B380" s="14">
        <v>22720</v>
      </c>
      <c r="C380" s="14" t="s">
        <v>17</v>
      </c>
      <c r="D380" s="14">
        <v>5</v>
      </c>
      <c r="E380" s="15">
        <v>45542.538194444445</v>
      </c>
      <c r="F380" s="16">
        <v>5.67</v>
      </c>
      <c r="G380" s="14">
        <v>12634</v>
      </c>
      <c r="H380" s="14" t="s">
        <v>14</v>
      </c>
      <c r="I380" s="16">
        <f t="shared" si="25"/>
        <v>28.35</v>
      </c>
      <c r="J380" s="14" t="str">
        <f t="shared" si="26"/>
        <v>Sep</v>
      </c>
      <c r="K380" s="14">
        <f t="shared" si="28"/>
        <v>2024</v>
      </c>
      <c r="L380" s="14" t="str">
        <f t="shared" si="29"/>
        <v>Completed</v>
      </c>
      <c r="M380" s="18" t="str">
        <f t="shared" si="27"/>
        <v>Returning</v>
      </c>
    </row>
    <row r="381" spans="1:13" ht="15" thickBot="1" x14ac:dyDescent="0.35">
      <c r="A381" s="17">
        <v>50380</v>
      </c>
      <c r="B381" s="14">
        <v>21212</v>
      </c>
      <c r="C381" s="14" t="s">
        <v>21</v>
      </c>
      <c r="D381" s="14">
        <v>5</v>
      </c>
      <c r="E381" s="15">
        <v>45296.677777777775</v>
      </c>
      <c r="F381" s="16">
        <v>0.54</v>
      </c>
      <c r="G381" s="14">
        <v>12575</v>
      </c>
      <c r="H381" s="14" t="s">
        <v>10</v>
      </c>
      <c r="I381" s="16">
        <f t="shared" si="25"/>
        <v>2.7</v>
      </c>
      <c r="J381" s="14" t="str">
        <f t="shared" si="26"/>
        <v>Jan</v>
      </c>
      <c r="K381" s="14">
        <f t="shared" si="28"/>
        <v>2024</v>
      </c>
      <c r="L381" s="14" t="str">
        <f t="shared" si="29"/>
        <v>Completed</v>
      </c>
      <c r="M381" s="18" t="str">
        <f t="shared" si="27"/>
        <v>New</v>
      </c>
    </row>
    <row r="382" spans="1:13" ht="15" thickBot="1" x14ac:dyDescent="0.35">
      <c r="A382" s="17">
        <v>50381</v>
      </c>
      <c r="B382" s="14">
        <v>23203</v>
      </c>
      <c r="C382" s="14" t="s">
        <v>30</v>
      </c>
      <c r="D382" s="14">
        <v>14</v>
      </c>
      <c r="E382" s="15">
        <v>45501.682638888888</v>
      </c>
      <c r="F382" s="16">
        <v>2.09</v>
      </c>
      <c r="G382" s="14">
        <v>12171</v>
      </c>
      <c r="H382" s="14" t="s">
        <v>24</v>
      </c>
      <c r="I382" s="16">
        <f t="shared" si="25"/>
        <v>29.259999999999998</v>
      </c>
      <c r="J382" s="14" t="str">
        <f t="shared" si="26"/>
        <v>Jul</v>
      </c>
      <c r="K382" s="14">
        <f t="shared" si="28"/>
        <v>2024</v>
      </c>
      <c r="L382" s="14" t="str">
        <f t="shared" si="29"/>
        <v>Completed</v>
      </c>
      <c r="M382" s="18" t="str">
        <f t="shared" si="27"/>
        <v>Wholesale</v>
      </c>
    </row>
    <row r="383" spans="1:13" ht="15" thickBot="1" x14ac:dyDescent="0.35">
      <c r="A383" s="17" t="s">
        <v>72</v>
      </c>
      <c r="B383" s="14" t="s">
        <v>43</v>
      </c>
      <c r="C383" s="14" t="s">
        <v>44</v>
      </c>
      <c r="D383" s="14">
        <v>-4</v>
      </c>
      <c r="E383" s="15">
        <v>45307.489583333336</v>
      </c>
      <c r="F383" s="16">
        <v>1.3</v>
      </c>
      <c r="G383" s="14">
        <v>12172</v>
      </c>
      <c r="H383" s="14" t="s">
        <v>28</v>
      </c>
      <c r="I383" s="16">
        <f t="shared" si="25"/>
        <v>-5.2</v>
      </c>
      <c r="J383" s="14" t="str">
        <f t="shared" si="26"/>
        <v>Jan</v>
      </c>
      <c r="K383" s="14">
        <f t="shared" si="28"/>
        <v>2024</v>
      </c>
      <c r="L383" s="14" t="str">
        <f t="shared" si="29"/>
        <v>Cancelled</v>
      </c>
      <c r="M383" s="18" t="str">
        <f t="shared" si="27"/>
        <v>Returning</v>
      </c>
    </row>
    <row r="384" spans="1:13" ht="15" thickBot="1" x14ac:dyDescent="0.35">
      <c r="A384" s="17">
        <v>50383</v>
      </c>
      <c r="B384" s="14" t="s">
        <v>43</v>
      </c>
      <c r="C384" s="14" t="s">
        <v>44</v>
      </c>
      <c r="D384" s="14">
        <v>17</v>
      </c>
      <c r="E384" s="15">
        <v>45545.723611111112</v>
      </c>
      <c r="F384" s="16">
        <v>1.1100000000000001</v>
      </c>
      <c r="G384" s="14">
        <v>12793</v>
      </c>
      <c r="H384" s="14" t="s">
        <v>10</v>
      </c>
      <c r="I384" s="16">
        <f t="shared" si="25"/>
        <v>18.87</v>
      </c>
      <c r="J384" s="14" t="str">
        <f t="shared" si="26"/>
        <v>Sep</v>
      </c>
      <c r="K384" s="14">
        <f t="shared" si="28"/>
        <v>2024</v>
      </c>
      <c r="L384" s="14" t="str">
        <f t="shared" si="29"/>
        <v>Completed</v>
      </c>
      <c r="M384" s="18" t="str">
        <f t="shared" si="27"/>
        <v>New</v>
      </c>
    </row>
    <row r="385" spans="1:13" ht="15" thickBot="1" x14ac:dyDescent="0.35">
      <c r="A385" s="17">
        <v>50384</v>
      </c>
      <c r="B385" s="14">
        <v>21212</v>
      </c>
      <c r="C385" s="14" t="s">
        <v>21</v>
      </c>
      <c r="D385" s="14">
        <v>24</v>
      </c>
      <c r="E385" s="15">
        <v>45569.362500000003</v>
      </c>
      <c r="F385" s="16">
        <v>0.51</v>
      </c>
      <c r="G385" s="14">
        <v>12435</v>
      </c>
      <c r="H385" s="14" t="s">
        <v>24</v>
      </c>
      <c r="I385" s="16">
        <f t="shared" si="25"/>
        <v>12.24</v>
      </c>
      <c r="J385" s="14" t="str">
        <f t="shared" si="26"/>
        <v>Oct</v>
      </c>
      <c r="K385" s="14">
        <f t="shared" si="28"/>
        <v>2024</v>
      </c>
      <c r="L385" s="14" t="str">
        <f t="shared" si="29"/>
        <v>Completed</v>
      </c>
      <c r="M385" s="18" t="str">
        <f t="shared" si="27"/>
        <v>Wholesale</v>
      </c>
    </row>
    <row r="386" spans="1:13" ht="15" thickBot="1" x14ac:dyDescent="0.35">
      <c r="A386" s="17">
        <v>50385</v>
      </c>
      <c r="B386" s="14">
        <v>22423</v>
      </c>
      <c r="C386" s="14" t="s">
        <v>36</v>
      </c>
      <c r="D386" s="14">
        <v>15</v>
      </c>
      <c r="E386" s="15">
        <v>45444.356249999997</v>
      </c>
      <c r="F386" s="16">
        <v>14.69</v>
      </c>
      <c r="G386" s="14">
        <v>12089</v>
      </c>
      <c r="H386" s="14" t="s">
        <v>28</v>
      </c>
      <c r="I386" s="16">
        <f t="shared" ref="I386:I449" si="30">D386*F386</f>
        <v>220.35</v>
      </c>
      <c r="J386" s="14" t="str">
        <f t="shared" ref="J386:J449" si="31">TEXT(E386,"mmm")</f>
        <v>Jun</v>
      </c>
      <c r="K386" s="14">
        <f t="shared" si="28"/>
        <v>2024</v>
      </c>
      <c r="L386" s="14" t="str">
        <f t="shared" si="29"/>
        <v>Completed</v>
      </c>
      <c r="M386" s="18" t="str">
        <f t="shared" ref="M386:M449" si="32">IF(G386=0,"Unknown",IF(MOD(G386,3)=0,"Wholesale",IF(MOD(G386,2)=0,"Returning","New")))</f>
        <v>New</v>
      </c>
    </row>
    <row r="387" spans="1:13" ht="15" thickBot="1" x14ac:dyDescent="0.35">
      <c r="A387" s="17">
        <v>50386</v>
      </c>
      <c r="B387" s="14" t="s">
        <v>8</v>
      </c>
      <c r="C387" s="14" t="s">
        <v>9</v>
      </c>
      <c r="D387" s="14">
        <v>24</v>
      </c>
      <c r="E387" s="15">
        <v>45413.481944444444</v>
      </c>
      <c r="F387" s="16">
        <v>3.3</v>
      </c>
      <c r="G387" s="14">
        <v>12727</v>
      </c>
      <c r="H387" s="14" t="s">
        <v>20</v>
      </c>
      <c r="I387" s="16">
        <f t="shared" si="30"/>
        <v>79.199999999999989</v>
      </c>
      <c r="J387" s="14" t="str">
        <f t="shared" si="31"/>
        <v>May</v>
      </c>
      <c r="K387" s="14">
        <f t="shared" ref="K387:K450" si="33">YEAR(E387)</f>
        <v>2024</v>
      </c>
      <c r="L387" s="14" t="str">
        <f t="shared" ref="L387:L450" si="34">IF(OR(LEFT(A387,1)="C",D387&lt;0),"Cancelled","Completed")</f>
        <v>Completed</v>
      </c>
      <c r="M387" s="18" t="str">
        <f t="shared" si="32"/>
        <v>New</v>
      </c>
    </row>
    <row r="388" spans="1:13" ht="15" thickBot="1" x14ac:dyDescent="0.35">
      <c r="A388" s="17">
        <v>50387</v>
      </c>
      <c r="B388" s="14" t="s">
        <v>39</v>
      </c>
      <c r="C388" s="14" t="s">
        <v>40</v>
      </c>
      <c r="D388" s="14">
        <v>7</v>
      </c>
      <c r="E388" s="15">
        <v>45376.431944444441</v>
      </c>
      <c r="F388" s="16">
        <v>2.35</v>
      </c>
      <c r="G388" s="14">
        <v>12583</v>
      </c>
      <c r="H388" s="14" t="s">
        <v>18</v>
      </c>
      <c r="I388" s="16">
        <f t="shared" si="30"/>
        <v>16.45</v>
      </c>
      <c r="J388" s="14" t="str">
        <f t="shared" si="31"/>
        <v>Mar</v>
      </c>
      <c r="K388" s="14">
        <f t="shared" si="33"/>
        <v>2024</v>
      </c>
      <c r="L388" s="14" t="str">
        <f t="shared" si="34"/>
        <v>Completed</v>
      </c>
      <c r="M388" s="18" t="str">
        <f t="shared" si="32"/>
        <v>New</v>
      </c>
    </row>
    <row r="389" spans="1:13" ht="15" thickBot="1" x14ac:dyDescent="0.35">
      <c r="A389" s="17">
        <v>50388</v>
      </c>
      <c r="B389" s="14" t="s">
        <v>15</v>
      </c>
      <c r="C389" s="14" t="s">
        <v>16</v>
      </c>
      <c r="D389" s="14">
        <v>6</v>
      </c>
      <c r="E389" s="15">
        <v>45435.71597222222</v>
      </c>
      <c r="F389" s="16">
        <v>3.23</v>
      </c>
      <c r="G389" s="14">
        <v>12296</v>
      </c>
      <c r="H389" s="14" t="s">
        <v>20</v>
      </c>
      <c r="I389" s="16">
        <f t="shared" si="30"/>
        <v>19.38</v>
      </c>
      <c r="J389" s="14" t="str">
        <f t="shared" si="31"/>
        <v>May</v>
      </c>
      <c r="K389" s="14">
        <f t="shared" si="33"/>
        <v>2024</v>
      </c>
      <c r="L389" s="14" t="str">
        <f t="shared" si="34"/>
        <v>Completed</v>
      </c>
      <c r="M389" s="18" t="str">
        <f t="shared" si="32"/>
        <v>Returning</v>
      </c>
    </row>
    <row r="390" spans="1:13" ht="15" thickBot="1" x14ac:dyDescent="0.35">
      <c r="A390" s="17">
        <v>50389</v>
      </c>
      <c r="B390" s="14">
        <v>47566</v>
      </c>
      <c r="C390" s="14" t="s">
        <v>27</v>
      </c>
      <c r="D390" s="14">
        <v>5</v>
      </c>
      <c r="E390" s="15">
        <v>45555.400694444441</v>
      </c>
      <c r="F390" s="16">
        <v>5.57</v>
      </c>
      <c r="G390" s="14">
        <v>12940</v>
      </c>
      <c r="H390" s="14" t="s">
        <v>14</v>
      </c>
      <c r="I390" s="16">
        <f t="shared" si="30"/>
        <v>27.85</v>
      </c>
      <c r="J390" s="14" t="str">
        <f t="shared" si="31"/>
        <v>Sep</v>
      </c>
      <c r="K390" s="14">
        <f t="shared" si="33"/>
        <v>2024</v>
      </c>
      <c r="L390" s="14" t="str">
        <f t="shared" si="34"/>
        <v>Completed</v>
      </c>
      <c r="M390" s="18" t="str">
        <f t="shared" si="32"/>
        <v>Returning</v>
      </c>
    </row>
    <row r="391" spans="1:13" ht="15" thickBot="1" x14ac:dyDescent="0.35">
      <c r="A391" s="17">
        <v>50390</v>
      </c>
      <c r="B391" s="14">
        <v>47566</v>
      </c>
      <c r="C391" s="14" t="s">
        <v>27</v>
      </c>
      <c r="D391" s="14">
        <v>23</v>
      </c>
      <c r="E391" s="15">
        <v>45627.42291666667</v>
      </c>
      <c r="F391" s="16">
        <v>4.6399999999999997</v>
      </c>
      <c r="G391" s="14">
        <v>12728</v>
      </c>
      <c r="H391" s="14" t="s">
        <v>18</v>
      </c>
      <c r="I391" s="16">
        <f t="shared" si="30"/>
        <v>106.72</v>
      </c>
      <c r="J391" s="14" t="str">
        <f t="shared" si="31"/>
        <v>Dec</v>
      </c>
      <c r="K391" s="14">
        <f t="shared" si="33"/>
        <v>2024</v>
      </c>
      <c r="L391" s="14" t="str">
        <f t="shared" si="34"/>
        <v>Completed</v>
      </c>
      <c r="M391" s="18" t="str">
        <f t="shared" si="32"/>
        <v>Returning</v>
      </c>
    </row>
    <row r="392" spans="1:13" ht="15" thickBot="1" x14ac:dyDescent="0.35">
      <c r="A392" s="17">
        <v>50391</v>
      </c>
      <c r="B392" s="14">
        <v>22423</v>
      </c>
      <c r="C392" s="14" t="s">
        <v>36</v>
      </c>
      <c r="D392" s="14">
        <v>16</v>
      </c>
      <c r="E392" s="15">
        <v>45638.612500000003</v>
      </c>
      <c r="F392" s="16">
        <v>13.66</v>
      </c>
      <c r="G392" s="14">
        <v>12642</v>
      </c>
      <c r="H392" s="14" t="s">
        <v>26</v>
      </c>
      <c r="I392" s="16">
        <f t="shared" si="30"/>
        <v>218.56</v>
      </c>
      <c r="J392" s="14" t="str">
        <f t="shared" si="31"/>
        <v>Dec</v>
      </c>
      <c r="K392" s="14">
        <f t="shared" si="33"/>
        <v>2024</v>
      </c>
      <c r="L392" s="14" t="str">
        <f t="shared" si="34"/>
        <v>Completed</v>
      </c>
      <c r="M392" s="18" t="str">
        <f t="shared" si="32"/>
        <v>Wholesale</v>
      </c>
    </row>
    <row r="393" spans="1:13" ht="15" thickBot="1" x14ac:dyDescent="0.35">
      <c r="A393" s="17">
        <v>50392</v>
      </c>
      <c r="B393" s="14">
        <v>22386</v>
      </c>
      <c r="C393" s="14" t="s">
        <v>29</v>
      </c>
      <c r="D393" s="14">
        <v>21</v>
      </c>
      <c r="E393" s="15">
        <v>45523.386805555558</v>
      </c>
      <c r="F393" s="16">
        <v>2.1800000000000002</v>
      </c>
      <c r="G393" s="14">
        <v>12412</v>
      </c>
      <c r="H393" s="14" t="s">
        <v>10</v>
      </c>
      <c r="I393" s="16">
        <f t="shared" si="30"/>
        <v>45.78</v>
      </c>
      <c r="J393" s="14" t="str">
        <f t="shared" si="31"/>
        <v>Aug</v>
      </c>
      <c r="K393" s="14">
        <f t="shared" si="33"/>
        <v>2024</v>
      </c>
      <c r="L393" s="14" t="str">
        <f t="shared" si="34"/>
        <v>Completed</v>
      </c>
      <c r="M393" s="18" t="str">
        <f t="shared" si="32"/>
        <v>Returning</v>
      </c>
    </row>
    <row r="394" spans="1:13" ht="15" thickBot="1" x14ac:dyDescent="0.35">
      <c r="A394" s="17">
        <v>50393</v>
      </c>
      <c r="B394" s="14">
        <v>47566</v>
      </c>
      <c r="C394" s="14" t="s">
        <v>27</v>
      </c>
      <c r="D394" s="14">
        <v>15</v>
      </c>
      <c r="E394" s="15">
        <v>45647.595138888886</v>
      </c>
      <c r="F394" s="16">
        <v>4.7699999999999996</v>
      </c>
      <c r="G394" s="14">
        <v>12002</v>
      </c>
      <c r="H394" s="14" t="s">
        <v>24</v>
      </c>
      <c r="I394" s="16">
        <f t="shared" si="30"/>
        <v>71.55</v>
      </c>
      <c r="J394" s="14" t="str">
        <f t="shared" si="31"/>
        <v>Dec</v>
      </c>
      <c r="K394" s="14">
        <f t="shared" si="33"/>
        <v>2024</v>
      </c>
      <c r="L394" s="14" t="str">
        <f t="shared" si="34"/>
        <v>Completed</v>
      </c>
      <c r="M394" s="18" t="str">
        <f t="shared" si="32"/>
        <v>Returning</v>
      </c>
    </row>
    <row r="395" spans="1:13" ht="15" thickBot="1" x14ac:dyDescent="0.35">
      <c r="A395" s="17">
        <v>50394</v>
      </c>
      <c r="B395" s="14">
        <v>20725</v>
      </c>
      <c r="C395" s="14" t="s">
        <v>19</v>
      </c>
      <c r="D395" s="14">
        <v>3</v>
      </c>
      <c r="E395" s="15">
        <v>45617.587500000001</v>
      </c>
      <c r="F395" s="16">
        <v>1.63</v>
      </c>
      <c r="G395" s="14">
        <v>12991</v>
      </c>
      <c r="H395" s="14" t="s">
        <v>26</v>
      </c>
      <c r="I395" s="16">
        <f t="shared" si="30"/>
        <v>4.8899999999999997</v>
      </c>
      <c r="J395" s="14" t="str">
        <f t="shared" si="31"/>
        <v>Nov</v>
      </c>
      <c r="K395" s="14">
        <f t="shared" si="33"/>
        <v>2024</v>
      </c>
      <c r="L395" s="14" t="str">
        <f t="shared" si="34"/>
        <v>Completed</v>
      </c>
      <c r="M395" s="18" t="str">
        <f t="shared" si="32"/>
        <v>New</v>
      </c>
    </row>
    <row r="396" spans="1:13" ht="15" thickBot="1" x14ac:dyDescent="0.35">
      <c r="A396" s="17">
        <v>50395</v>
      </c>
      <c r="B396" s="14">
        <v>22727</v>
      </c>
      <c r="C396" s="14" t="s">
        <v>46</v>
      </c>
      <c r="D396" s="14">
        <v>11</v>
      </c>
      <c r="E396" s="15">
        <v>45545.523611111108</v>
      </c>
      <c r="F396" s="16">
        <v>3.63</v>
      </c>
      <c r="G396" s="14">
        <v>12591</v>
      </c>
      <c r="H396" s="14" t="s">
        <v>23</v>
      </c>
      <c r="I396" s="16">
        <f t="shared" si="30"/>
        <v>39.93</v>
      </c>
      <c r="J396" s="14" t="str">
        <f t="shared" si="31"/>
        <v>Sep</v>
      </c>
      <c r="K396" s="14">
        <f t="shared" si="33"/>
        <v>2024</v>
      </c>
      <c r="L396" s="14" t="str">
        <f t="shared" si="34"/>
        <v>Completed</v>
      </c>
      <c r="M396" s="18" t="str">
        <f t="shared" si="32"/>
        <v>Wholesale</v>
      </c>
    </row>
    <row r="397" spans="1:13" ht="15" thickBot="1" x14ac:dyDescent="0.35">
      <c r="A397" s="17">
        <v>50396</v>
      </c>
      <c r="B397" s="14" t="s">
        <v>43</v>
      </c>
      <c r="C397" s="14" t="s">
        <v>44</v>
      </c>
      <c r="D397" s="14">
        <v>22</v>
      </c>
      <c r="E397" s="15">
        <v>45540.57708333333</v>
      </c>
      <c r="F397" s="16">
        <v>1.08</v>
      </c>
      <c r="G397" s="14">
        <v>12641</v>
      </c>
      <c r="H397" s="14" t="s">
        <v>28</v>
      </c>
      <c r="I397" s="16">
        <f t="shared" si="30"/>
        <v>23.76</v>
      </c>
      <c r="J397" s="14" t="str">
        <f t="shared" si="31"/>
        <v>Sep</v>
      </c>
      <c r="K397" s="14">
        <f t="shared" si="33"/>
        <v>2024</v>
      </c>
      <c r="L397" s="14" t="str">
        <f t="shared" si="34"/>
        <v>Completed</v>
      </c>
      <c r="M397" s="18" t="str">
        <f t="shared" si="32"/>
        <v>New</v>
      </c>
    </row>
    <row r="398" spans="1:13" ht="15" thickBot="1" x14ac:dyDescent="0.35">
      <c r="A398" s="17">
        <v>50397</v>
      </c>
      <c r="B398" s="14" t="s">
        <v>31</v>
      </c>
      <c r="C398" s="14" t="s">
        <v>32</v>
      </c>
      <c r="D398" s="14">
        <v>15</v>
      </c>
      <c r="E398" s="15">
        <v>45355.445138888892</v>
      </c>
      <c r="F398" s="16">
        <v>3.05</v>
      </c>
      <c r="G398" s="14">
        <v>12438</v>
      </c>
      <c r="H398" s="14" t="s">
        <v>37</v>
      </c>
      <c r="I398" s="16">
        <f t="shared" si="30"/>
        <v>45.75</v>
      </c>
      <c r="J398" s="14" t="str">
        <f t="shared" si="31"/>
        <v>Mar</v>
      </c>
      <c r="K398" s="14">
        <f t="shared" si="33"/>
        <v>2024</v>
      </c>
      <c r="L398" s="14" t="str">
        <f t="shared" si="34"/>
        <v>Completed</v>
      </c>
      <c r="M398" s="18" t="str">
        <f t="shared" si="32"/>
        <v>Wholesale</v>
      </c>
    </row>
    <row r="399" spans="1:13" ht="15" thickBot="1" x14ac:dyDescent="0.35">
      <c r="A399" s="17">
        <v>50398</v>
      </c>
      <c r="B399" s="14">
        <v>84879</v>
      </c>
      <c r="C399" s="14" t="s">
        <v>45</v>
      </c>
      <c r="D399" s="14">
        <v>6</v>
      </c>
      <c r="E399" s="15">
        <v>45624.54791666667</v>
      </c>
      <c r="F399" s="16">
        <v>1.96</v>
      </c>
      <c r="G399" s="14">
        <v>12095</v>
      </c>
      <c r="H399" s="14" t="s">
        <v>18</v>
      </c>
      <c r="I399" s="16">
        <f t="shared" si="30"/>
        <v>11.76</v>
      </c>
      <c r="J399" s="14" t="str">
        <f t="shared" si="31"/>
        <v>Nov</v>
      </c>
      <c r="K399" s="14">
        <f t="shared" si="33"/>
        <v>2024</v>
      </c>
      <c r="L399" s="14" t="str">
        <f t="shared" si="34"/>
        <v>Completed</v>
      </c>
      <c r="M399" s="18" t="str">
        <f t="shared" si="32"/>
        <v>New</v>
      </c>
    </row>
    <row r="400" spans="1:13" ht="15" thickBot="1" x14ac:dyDescent="0.35">
      <c r="A400" s="17">
        <v>50399</v>
      </c>
      <c r="B400" s="14">
        <v>47566</v>
      </c>
      <c r="C400" s="14" t="s">
        <v>27</v>
      </c>
      <c r="D400" s="14">
        <v>22</v>
      </c>
      <c r="E400" s="15">
        <v>45334.597222222219</v>
      </c>
      <c r="F400" s="16">
        <v>4.49</v>
      </c>
      <c r="G400" s="14">
        <v>12405</v>
      </c>
      <c r="H400" s="14" t="s">
        <v>22</v>
      </c>
      <c r="I400" s="16">
        <f t="shared" si="30"/>
        <v>98.78</v>
      </c>
      <c r="J400" s="14" t="str">
        <f t="shared" si="31"/>
        <v>Feb</v>
      </c>
      <c r="K400" s="14">
        <f t="shared" si="33"/>
        <v>2024</v>
      </c>
      <c r="L400" s="14" t="str">
        <f t="shared" si="34"/>
        <v>Completed</v>
      </c>
      <c r="M400" s="18" t="str">
        <f t="shared" si="32"/>
        <v>Wholesale</v>
      </c>
    </row>
    <row r="401" spans="1:13" ht="15" thickBot="1" x14ac:dyDescent="0.35">
      <c r="A401" s="17">
        <v>50400</v>
      </c>
      <c r="B401" s="14">
        <v>22423</v>
      </c>
      <c r="C401" s="14" t="s">
        <v>36</v>
      </c>
      <c r="D401" s="14">
        <v>23</v>
      </c>
      <c r="E401" s="15">
        <v>45511.397916666669</v>
      </c>
      <c r="F401" s="16">
        <v>11.79</v>
      </c>
      <c r="G401" s="14">
        <v>12079</v>
      </c>
      <c r="H401" s="14" t="s">
        <v>23</v>
      </c>
      <c r="I401" s="16">
        <f t="shared" si="30"/>
        <v>271.16999999999996</v>
      </c>
      <c r="J401" s="14" t="str">
        <f t="shared" si="31"/>
        <v>Aug</v>
      </c>
      <c r="K401" s="14">
        <f t="shared" si="33"/>
        <v>2024</v>
      </c>
      <c r="L401" s="14" t="str">
        <f t="shared" si="34"/>
        <v>Completed</v>
      </c>
      <c r="M401" s="18" t="str">
        <f t="shared" si="32"/>
        <v>New</v>
      </c>
    </row>
    <row r="402" spans="1:13" ht="15" thickBot="1" x14ac:dyDescent="0.35">
      <c r="A402" s="17">
        <v>50401</v>
      </c>
      <c r="B402" s="14" t="s">
        <v>43</v>
      </c>
      <c r="C402" s="14" t="s">
        <v>44</v>
      </c>
      <c r="D402" s="14">
        <v>22</v>
      </c>
      <c r="E402" s="15">
        <v>45407.70208333333</v>
      </c>
      <c r="F402" s="16">
        <v>1.07</v>
      </c>
      <c r="G402" s="14">
        <v>12351</v>
      </c>
      <c r="H402" s="14" t="s">
        <v>24</v>
      </c>
      <c r="I402" s="16">
        <f t="shared" si="30"/>
        <v>23.540000000000003</v>
      </c>
      <c r="J402" s="14" t="str">
        <f t="shared" si="31"/>
        <v>Apr</v>
      </c>
      <c r="K402" s="14">
        <f t="shared" si="33"/>
        <v>2024</v>
      </c>
      <c r="L402" s="14" t="str">
        <f t="shared" si="34"/>
        <v>Completed</v>
      </c>
      <c r="M402" s="18" t="str">
        <f t="shared" si="32"/>
        <v>Wholesale</v>
      </c>
    </row>
    <row r="403" spans="1:13" ht="15" thickBot="1" x14ac:dyDescent="0.35">
      <c r="A403" s="17">
        <v>50402</v>
      </c>
      <c r="B403" s="14" t="s">
        <v>39</v>
      </c>
      <c r="C403" s="14" t="s">
        <v>40</v>
      </c>
      <c r="D403" s="14">
        <v>16</v>
      </c>
      <c r="E403" s="15">
        <v>45647.427083333336</v>
      </c>
      <c r="F403" s="16">
        <v>2.0499999999999998</v>
      </c>
      <c r="G403" s="14">
        <v>12748</v>
      </c>
      <c r="H403" s="14" t="s">
        <v>24</v>
      </c>
      <c r="I403" s="16">
        <f t="shared" si="30"/>
        <v>32.799999999999997</v>
      </c>
      <c r="J403" s="14" t="str">
        <f t="shared" si="31"/>
        <v>Dec</v>
      </c>
      <c r="K403" s="14">
        <f t="shared" si="33"/>
        <v>2024</v>
      </c>
      <c r="L403" s="14" t="str">
        <f t="shared" si="34"/>
        <v>Completed</v>
      </c>
      <c r="M403" s="18" t="str">
        <f t="shared" si="32"/>
        <v>Returning</v>
      </c>
    </row>
    <row r="404" spans="1:13" ht="15" thickBot="1" x14ac:dyDescent="0.35">
      <c r="A404" s="17">
        <v>50403</v>
      </c>
      <c r="B404" s="14" t="s">
        <v>8</v>
      </c>
      <c r="C404" s="14" t="s">
        <v>9</v>
      </c>
      <c r="D404" s="14">
        <v>10</v>
      </c>
      <c r="E404" s="15">
        <v>45452.594444444447</v>
      </c>
      <c r="F404" s="16">
        <v>3.8</v>
      </c>
      <c r="G404" s="14">
        <v>12771</v>
      </c>
      <c r="H404" s="14" t="s">
        <v>23</v>
      </c>
      <c r="I404" s="16">
        <f t="shared" si="30"/>
        <v>38</v>
      </c>
      <c r="J404" s="14" t="str">
        <f t="shared" si="31"/>
        <v>Jun</v>
      </c>
      <c r="K404" s="14">
        <f t="shared" si="33"/>
        <v>2024</v>
      </c>
      <c r="L404" s="14" t="str">
        <f t="shared" si="34"/>
        <v>Completed</v>
      </c>
      <c r="M404" s="18" t="str">
        <f t="shared" si="32"/>
        <v>Wholesale</v>
      </c>
    </row>
    <row r="405" spans="1:13" ht="15" thickBot="1" x14ac:dyDescent="0.35">
      <c r="A405" s="17" t="s">
        <v>73</v>
      </c>
      <c r="B405" s="14">
        <v>84879</v>
      </c>
      <c r="C405" s="14" t="s">
        <v>45</v>
      </c>
      <c r="D405" s="14">
        <v>-3</v>
      </c>
      <c r="E405" s="15">
        <v>45327.710416666669</v>
      </c>
      <c r="F405" s="16">
        <v>1.7</v>
      </c>
      <c r="G405" s="14">
        <v>12739</v>
      </c>
      <c r="H405" s="14" t="s">
        <v>37</v>
      </c>
      <c r="I405" s="16">
        <f t="shared" si="30"/>
        <v>-5.0999999999999996</v>
      </c>
      <c r="J405" s="14" t="str">
        <f t="shared" si="31"/>
        <v>Feb</v>
      </c>
      <c r="K405" s="14">
        <f t="shared" si="33"/>
        <v>2024</v>
      </c>
      <c r="L405" s="14" t="str">
        <f t="shared" si="34"/>
        <v>Cancelled</v>
      </c>
      <c r="M405" s="18" t="str">
        <f t="shared" si="32"/>
        <v>New</v>
      </c>
    </row>
    <row r="406" spans="1:13" ht="15" thickBot="1" x14ac:dyDescent="0.35">
      <c r="A406" s="17">
        <v>50405</v>
      </c>
      <c r="B406" s="14">
        <v>84879</v>
      </c>
      <c r="C406" s="14" t="s">
        <v>45</v>
      </c>
      <c r="D406" s="14">
        <v>7</v>
      </c>
      <c r="E406" s="15">
        <v>45502.647916666669</v>
      </c>
      <c r="F406" s="16">
        <v>1.5</v>
      </c>
      <c r="G406" s="14">
        <v>12770</v>
      </c>
      <c r="H406" s="14" t="s">
        <v>24</v>
      </c>
      <c r="I406" s="16">
        <f t="shared" si="30"/>
        <v>10.5</v>
      </c>
      <c r="J406" s="14" t="str">
        <f t="shared" si="31"/>
        <v>Jul</v>
      </c>
      <c r="K406" s="14">
        <f t="shared" si="33"/>
        <v>2024</v>
      </c>
      <c r="L406" s="14" t="str">
        <f t="shared" si="34"/>
        <v>Completed</v>
      </c>
      <c r="M406" s="18" t="str">
        <f t="shared" si="32"/>
        <v>Returning</v>
      </c>
    </row>
    <row r="407" spans="1:13" ht="15" thickBot="1" x14ac:dyDescent="0.35">
      <c r="A407" s="17">
        <v>50406</v>
      </c>
      <c r="B407" s="14" t="s">
        <v>43</v>
      </c>
      <c r="C407" s="14" t="s">
        <v>44</v>
      </c>
      <c r="D407" s="14">
        <v>14</v>
      </c>
      <c r="E407" s="15">
        <v>45488.582638888889</v>
      </c>
      <c r="F407" s="16">
        <v>1.1200000000000001</v>
      </c>
      <c r="G407" s="14">
        <v>12283</v>
      </c>
      <c r="H407" s="14" t="s">
        <v>24</v>
      </c>
      <c r="I407" s="16">
        <f t="shared" si="30"/>
        <v>15.680000000000001</v>
      </c>
      <c r="J407" s="14" t="str">
        <f t="shared" si="31"/>
        <v>Jul</v>
      </c>
      <c r="K407" s="14">
        <f t="shared" si="33"/>
        <v>2024</v>
      </c>
      <c r="L407" s="14" t="str">
        <f t="shared" si="34"/>
        <v>Completed</v>
      </c>
      <c r="M407" s="18" t="str">
        <f t="shared" si="32"/>
        <v>New</v>
      </c>
    </row>
    <row r="408" spans="1:13" ht="15" thickBot="1" x14ac:dyDescent="0.35">
      <c r="A408" s="17" t="s">
        <v>74</v>
      </c>
      <c r="B408" s="14">
        <v>22423</v>
      </c>
      <c r="C408" s="14" t="s">
        <v>36</v>
      </c>
      <c r="D408" s="14">
        <v>-5</v>
      </c>
      <c r="E408" s="15">
        <v>45575.535416666666</v>
      </c>
      <c r="F408" s="16">
        <v>11.75</v>
      </c>
      <c r="G408" s="14">
        <v>12621</v>
      </c>
      <c r="H408" s="14" t="s">
        <v>10</v>
      </c>
      <c r="I408" s="16">
        <f t="shared" si="30"/>
        <v>-58.75</v>
      </c>
      <c r="J408" s="14" t="str">
        <f t="shared" si="31"/>
        <v>Oct</v>
      </c>
      <c r="K408" s="14">
        <f t="shared" si="33"/>
        <v>2024</v>
      </c>
      <c r="L408" s="14" t="str">
        <f t="shared" si="34"/>
        <v>Cancelled</v>
      </c>
      <c r="M408" s="18" t="str">
        <f t="shared" si="32"/>
        <v>Wholesale</v>
      </c>
    </row>
    <row r="409" spans="1:13" ht="15" thickBot="1" x14ac:dyDescent="0.35">
      <c r="A409" s="17" t="s">
        <v>75</v>
      </c>
      <c r="B409" s="14">
        <v>22727</v>
      </c>
      <c r="C409" s="14" t="s">
        <v>46</v>
      </c>
      <c r="D409" s="14">
        <v>-4</v>
      </c>
      <c r="E409" s="15">
        <v>45492.543055555558</v>
      </c>
      <c r="F409" s="16">
        <v>3.84</v>
      </c>
      <c r="G409" s="14">
        <v>12115</v>
      </c>
      <c r="H409" s="14" t="s">
        <v>37</v>
      </c>
      <c r="I409" s="16">
        <f t="shared" si="30"/>
        <v>-15.36</v>
      </c>
      <c r="J409" s="14" t="str">
        <f t="shared" si="31"/>
        <v>Jul</v>
      </c>
      <c r="K409" s="14">
        <f t="shared" si="33"/>
        <v>2024</v>
      </c>
      <c r="L409" s="14" t="str">
        <f t="shared" si="34"/>
        <v>Cancelled</v>
      </c>
      <c r="M409" s="18" t="str">
        <f t="shared" si="32"/>
        <v>New</v>
      </c>
    </row>
    <row r="410" spans="1:13" ht="15" thickBot="1" x14ac:dyDescent="0.35">
      <c r="A410" s="17">
        <v>50409</v>
      </c>
      <c r="B410" s="14">
        <v>23203</v>
      </c>
      <c r="C410" s="14" t="s">
        <v>30</v>
      </c>
      <c r="D410" s="14">
        <v>17</v>
      </c>
      <c r="E410" s="15">
        <v>45618.383333333331</v>
      </c>
      <c r="F410" s="16">
        <v>1.78</v>
      </c>
      <c r="G410" s="14">
        <v>12369</v>
      </c>
      <c r="H410" s="14" t="s">
        <v>18</v>
      </c>
      <c r="I410" s="16">
        <f t="shared" si="30"/>
        <v>30.26</v>
      </c>
      <c r="J410" s="14" t="str">
        <f t="shared" si="31"/>
        <v>Nov</v>
      </c>
      <c r="K410" s="14">
        <f t="shared" si="33"/>
        <v>2024</v>
      </c>
      <c r="L410" s="14" t="str">
        <f t="shared" si="34"/>
        <v>Completed</v>
      </c>
      <c r="M410" s="18" t="str">
        <f t="shared" si="32"/>
        <v>Wholesale</v>
      </c>
    </row>
    <row r="411" spans="1:13" ht="15" thickBot="1" x14ac:dyDescent="0.35">
      <c r="A411" s="17">
        <v>50410</v>
      </c>
      <c r="B411" s="14">
        <v>84879</v>
      </c>
      <c r="C411" s="14" t="s">
        <v>45</v>
      </c>
      <c r="D411" s="14">
        <v>14</v>
      </c>
      <c r="E411" s="15">
        <v>45490.737500000003</v>
      </c>
      <c r="F411" s="16">
        <v>1.84</v>
      </c>
      <c r="G411" s="14">
        <v>12781</v>
      </c>
      <c r="H411" s="14" t="s">
        <v>28</v>
      </c>
      <c r="I411" s="16">
        <f t="shared" si="30"/>
        <v>25.76</v>
      </c>
      <c r="J411" s="14" t="str">
        <f t="shared" si="31"/>
        <v>Jul</v>
      </c>
      <c r="K411" s="14">
        <f t="shared" si="33"/>
        <v>2024</v>
      </c>
      <c r="L411" s="14" t="str">
        <f t="shared" si="34"/>
        <v>Completed</v>
      </c>
      <c r="M411" s="18" t="str">
        <f t="shared" si="32"/>
        <v>New</v>
      </c>
    </row>
    <row r="412" spans="1:13" ht="15" thickBot="1" x14ac:dyDescent="0.35">
      <c r="A412" s="17">
        <v>50411</v>
      </c>
      <c r="B412" s="14" t="s">
        <v>12</v>
      </c>
      <c r="C412" s="14" t="s">
        <v>13</v>
      </c>
      <c r="D412" s="14">
        <v>1</v>
      </c>
      <c r="E412" s="15">
        <v>45300.381249999999</v>
      </c>
      <c r="F412" s="16">
        <v>2.38</v>
      </c>
      <c r="G412" s="14">
        <v>12061</v>
      </c>
      <c r="H412" s="14" t="s">
        <v>26</v>
      </c>
      <c r="I412" s="16">
        <f t="shared" si="30"/>
        <v>2.38</v>
      </c>
      <c r="J412" s="14" t="str">
        <f t="shared" si="31"/>
        <v>Jan</v>
      </c>
      <c r="K412" s="14">
        <f t="shared" si="33"/>
        <v>2024</v>
      </c>
      <c r="L412" s="14" t="str">
        <f t="shared" si="34"/>
        <v>Completed</v>
      </c>
      <c r="M412" s="18" t="str">
        <f t="shared" si="32"/>
        <v>New</v>
      </c>
    </row>
    <row r="413" spans="1:13" ht="15" thickBot="1" x14ac:dyDescent="0.35">
      <c r="A413" s="17">
        <v>50412</v>
      </c>
      <c r="B413" s="14" t="s">
        <v>33</v>
      </c>
      <c r="C413" s="14" t="s">
        <v>34</v>
      </c>
      <c r="D413" s="14">
        <v>14</v>
      </c>
      <c r="E413" s="15">
        <v>45438.689583333333</v>
      </c>
      <c r="F413" s="16">
        <v>17.829999999999998</v>
      </c>
      <c r="G413" s="14">
        <v>12655</v>
      </c>
      <c r="H413" s="14" t="s">
        <v>10</v>
      </c>
      <c r="I413" s="16">
        <f t="shared" si="30"/>
        <v>249.61999999999998</v>
      </c>
      <c r="J413" s="14" t="str">
        <f t="shared" si="31"/>
        <v>May</v>
      </c>
      <c r="K413" s="14">
        <f t="shared" si="33"/>
        <v>2024</v>
      </c>
      <c r="L413" s="14" t="str">
        <f t="shared" si="34"/>
        <v>Completed</v>
      </c>
      <c r="M413" s="18" t="str">
        <f t="shared" si="32"/>
        <v>New</v>
      </c>
    </row>
    <row r="414" spans="1:13" ht="15" thickBot="1" x14ac:dyDescent="0.35">
      <c r="A414" s="17">
        <v>50413</v>
      </c>
      <c r="B414" s="14" t="s">
        <v>15</v>
      </c>
      <c r="C414" s="14" t="s">
        <v>16</v>
      </c>
      <c r="D414" s="14">
        <v>9</v>
      </c>
      <c r="E414" s="15">
        <v>45607.441666666666</v>
      </c>
      <c r="F414" s="16">
        <v>2.59</v>
      </c>
      <c r="G414" s="14">
        <v>12943</v>
      </c>
      <c r="H414" s="14" t="s">
        <v>37</v>
      </c>
      <c r="I414" s="16">
        <f t="shared" si="30"/>
        <v>23.31</v>
      </c>
      <c r="J414" s="14" t="str">
        <f t="shared" si="31"/>
        <v>Nov</v>
      </c>
      <c r="K414" s="14">
        <f t="shared" si="33"/>
        <v>2024</v>
      </c>
      <c r="L414" s="14" t="str">
        <f t="shared" si="34"/>
        <v>Completed</v>
      </c>
      <c r="M414" s="18" t="str">
        <f t="shared" si="32"/>
        <v>New</v>
      </c>
    </row>
    <row r="415" spans="1:13" ht="15" thickBot="1" x14ac:dyDescent="0.35">
      <c r="A415" s="17">
        <v>50414</v>
      </c>
      <c r="B415" s="14">
        <v>84879</v>
      </c>
      <c r="C415" s="14" t="s">
        <v>45</v>
      </c>
      <c r="D415" s="14">
        <v>13</v>
      </c>
      <c r="E415" s="15">
        <v>45566.56527777778</v>
      </c>
      <c r="F415" s="16">
        <v>1.89</v>
      </c>
      <c r="G415" s="14">
        <v>12665</v>
      </c>
      <c r="H415" s="14" t="s">
        <v>24</v>
      </c>
      <c r="I415" s="16">
        <f t="shared" si="30"/>
        <v>24.57</v>
      </c>
      <c r="J415" s="14" t="str">
        <f t="shared" si="31"/>
        <v>Oct</v>
      </c>
      <c r="K415" s="14">
        <f t="shared" si="33"/>
        <v>2024</v>
      </c>
      <c r="L415" s="14" t="str">
        <f t="shared" si="34"/>
        <v>Completed</v>
      </c>
      <c r="M415" s="18" t="str">
        <f t="shared" si="32"/>
        <v>New</v>
      </c>
    </row>
    <row r="416" spans="1:13" ht="15" thickBot="1" x14ac:dyDescent="0.35">
      <c r="A416" s="17">
        <v>50415</v>
      </c>
      <c r="B416" s="14">
        <v>22960</v>
      </c>
      <c r="C416" s="14" t="s">
        <v>49</v>
      </c>
      <c r="D416" s="14">
        <v>24</v>
      </c>
      <c r="E416" s="15">
        <v>45649.643750000003</v>
      </c>
      <c r="F416" s="16">
        <v>3.97</v>
      </c>
      <c r="G416" s="14">
        <v>12250</v>
      </c>
      <c r="H416" s="14" t="s">
        <v>24</v>
      </c>
      <c r="I416" s="16">
        <f t="shared" si="30"/>
        <v>95.28</v>
      </c>
      <c r="J416" s="14" t="str">
        <f t="shared" si="31"/>
        <v>Dec</v>
      </c>
      <c r="K416" s="14">
        <f t="shared" si="33"/>
        <v>2024</v>
      </c>
      <c r="L416" s="14" t="str">
        <f t="shared" si="34"/>
        <v>Completed</v>
      </c>
      <c r="M416" s="18" t="str">
        <f t="shared" si="32"/>
        <v>Returning</v>
      </c>
    </row>
    <row r="417" spans="1:13" ht="15" thickBot="1" x14ac:dyDescent="0.35">
      <c r="A417" s="17">
        <v>50416</v>
      </c>
      <c r="B417" s="14" t="s">
        <v>39</v>
      </c>
      <c r="C417" s="14" t="s">
        <v>40</v>
      </c>
      <c r="D417" s="14">
        <v>20</v>
      </c>
      <c r="E417" s="15">
        <v>45351.655555555553</v>
      </c>
      <c r="F417" s="16">
        <v>1.99</v>
      </c>
      <c r="G417" s="14">
        <v>12759</v>
      </c>
      <c r="H417" s="14" t="s">
        <v>23</v>
      </c>
      <c r="I417" s="16">
        <f t="shared" si="30"/>
        <v>39.799999999999997</v>
      </c>
      <c r="J417" s="14" t="str">
        <f t="shared" si="31"/>
        <v>Feb</v>
      </c>
      <c r="K417" s="14">
        <f t="shared" si="33"/>
        <v>2024</v>
      </c>
      <c r="L417" s="14" t="str">
        <f t="shared" si="34"/>
        <v>Completed</v>
      </c>
      <c r="M417" s="18" t="str">
        <f t="shared" si="32"/>
        <v>Wholesale</v>
      </c>
    </row>
    <row r="418" spans="1:13" ht="15" thickBot="1" x14ac:dyDescent="0.35">
      <c r="A418" s="17" t="s">
        <v>76</v>
      </c>
      <c r="B418" s="14" t="s">
        <v>8</v>
      </c>
      <c r="C418" s="14" t="s">
        <v>9</v>
      </c>
      <c r="D418" s="14">
        <v>-8</v>
      </c>
      <c r="E418" s="15">
        <v>45298.430555555555</v>
      </c>
      <c r="F418" s="16">
        <v>4.01</v>
      </c>
      <c r="G418" s="14">
        <v>12535</v>
      </c>
      <c r="H418" s="14" t="s">
        <v>10</v>
      </c>
      <c r="I418" s="16">
        <f t="shared" si="30"/>
        <v>-32.08</v>
      </c>
      <c r="J418" s="14" t="str">
        <f t="shared" si="31"/>
        <v>Jan</v>
      </c>
      <c r="K418" s="14">
        <f t="shared" si="33"/>
        <v>2024</v>
      </c>
      <c r="L418" s="14" t="str">
        <f t="shared" si="34"/>
        <v>Cancelled</v>
      </c>
      <c r="M418" s="18" t="str">
        <f t="shared" si="32"/>
        <v>New</v>
      </c>
    </row>
    <row r="419" spans="1:13" ht="15" thickBot="1" x14ac:dyDescent="0.35">
      <c r="A419" s="17">
        <v>50418</v>
      </c>
      <c r="B419" s="14">
        <v>47566</v>
      </c>
      <c r="C419" s="14" t="s">
        <v>27</v>
      </c>
      <c r="D419" s="14">
        <v>5</v>
      </c>
      <c r="E419" s="15">
        <v>45377.597222222219</v>
      </c>
      <c r="F419" s="16">
        <v>5.72</v>
      </c>
      <c r="G419" s="14">
        <v>12750</v>
      </c>
      <c r="H419" s="14" t="s">
        <v>24</v>
      </c>
      <c r="I419" s="16">
        <f t="shared" si="30"/>
        <v>28.599999999999998</v>
      </c>
      <c r="J419" s="14" t="str">
        <f t="shared" si="31"/>
        <v>Mar</v>
      </c>
      <c r="K419" s="14">
        <f t="shared" si="33"/>
        <v>2024</v>
      </c>
      <c r="L419" s="14" t="str">
        <f t="shared" si="34"/>
        <v>Completed</v>
      </c>
      <c r="M419" s="18" t="str">
        <f t="shared" si="32"/>
        <v>Wholesale</v>
      </c>
    </row>
    <row r="420" spans="1:13" ht="15" thickBot="1" x14ac:dyDescent="0.35">
      <c r="A420" s="17">
        <v>50419</v>
      </c>
      <c r="B420" s="14" t="s">
        <v>31</v>
      </c>
      <c r="C420" s="14" t="s">
        <v>32</v>
      </c>
      <c r="D420" s="14">
        <v>9</v>
      </c>
      <c r="E420" s="15">
        <v>45463.638194444444</v>
      </c>
      <c r="F420" s="16">
        <v>2.4</v>
      </c>
      <c r="G420" s="14">
        <v>12998</v>
      </c>
      <c r="H420" s="14" t="s">
        <v>20</v>
      </c>
      <c r="I420" s="16">
        <f t="shared" si="30"/>
        <v>21.599999999999998</v>
      </c>
      <c r="J420" s="14" t="str">
        <f t="shared" si="31"/>
        <v>Jun</v>
      </c>
      <c r="K420" s="14">
        <f t="shared" si="33"/>
        <v>2024</v>
      </c>
      <c r="L420" s="14" t="str">
        <f t="shared" si="34"/>
        <v>Completed</v>
      </c>
      <c r="M420" s="18" t="str">
        <f t="shared" si="32"/>
        <v>Returning</v>
      </c>
    </row>
    <row r="421" spans="1:13" ht="15" thickBot="1" x14ac:dyDescent="0.35">
      <c r="A421" s="17">
        <v>50420</v>
      </c>
      <c r="B421" s="14" t="s">
        <v>12</v>
      </c>
      <c r="C421" s="14" t="s">
        <v>13</v>
      </c>
      <c r="D421" s="14">
        <v>17</v>
      </c>
      <c r="E421" s="15">
        <v>45546.656944444447</v>
      </c>
      <c r="F421" s="16">
        <v>2.82</v>
      </c>
      <c r="G421" s="14">
        <v>12580</v>
      </c>
      <c r="H421" s="14" t="s">
        <v>23</v>
      </c>
      <c r="I421" s="16">
        <f t="shared" si="30"/>
        <v>47.94</v>
      </c>
      <c r="J421" s="14" t="str">
        <f t="shared" si="31"/>
        <v>Sep</v>
      </c>
      <c r="K421" s="14">
        <f t="shared" si="33"/>
        <v>2024</v>
      </c>
      <c r="L421" s="14" t="str">
        <f t="shared" si="34"/>
        <v>Completed</v>
      </c>
      <c r="M421" s="18" t="str">
        <f t="shared" si="32"/>
        <v>Returning</v>
      </c>
    </row>
    <row r="422" spans="1:13" ht="15" thickBot="1" x14ac:dyDescent="0.35">
      <c r="A422" s="17">
        <v>50421</v>
      </c>
      <c r="B422" s="14">
        <v>21212</v>
      </c>
      <c r="C422" s="14" t="s">
        <v>21</v>
      </c>
      <c r="D422" s="14">
        <v>4</v>
      </c>
      <c r="E422" s="15">
        <v>45372.51458333333</v>
      </c>
      <c r="F422" s="16">
        <v>0.6</v>
      </c>
      <c r="G422" s="14">
        <v>12118</v>
      </c>
      <c r="H422" s="14" t="s">
        <v>37</v>
      </c>
      <c r="I422" s="16">
        <f t="shared" si="30"/>
        <v>2.4</v>
      </c>
      <c r="J422" s="14" t="str">
        <f t="shared" si="31"/>
        <v>Mar</v>
      </c>
      <c r="K422" s="14">
        <f t="shared" si="33"/>
        <v>2024</v>
      </c>
      <c r="L422" s="14" t="str">
        <f t="shared" si="34"/>
        <v>Completed</v>
      </c>
      <c r="M422" s="18" t="str">
        <f t="shared" si="32"/>
        <v>Returning</v>
      </c>
    </row>
    <row r="423" spans="1:13" ht="15" thickBot="1" x14ac:dyDescent="0.35">
      <c r="A423" s="17">
        <v>50422</v>
      </c>
      <c r="B423" s="14" t="s">
        <v>33</v>
      </c>
      <c r="C423" s="14" t="s">
        <v>34</v>
      </c>
      <c r="D423" s="14">
        <v>1</v>
      </c>
      <c r="E423" s="15">
        <v>45293.364583333336</v>
      </c>
      <c r="F423" s="16">
        <v>18.27</v>
      </c>
      <c r="G423" s="14">
        <v>12392</v>
      </c>
      <c r="H423" s="14" t="s">
        <v>23</v>
      </c>
      <c r="I423" s="16">
        <f t="shared" si="30"/>
        <v>18.27</v>
      </c>
      <c r="J423" s="14" t="str">
        <f t="shared" si="31"/>
        <v>Jan</v>
      </c>
      <c r="K423" s="14">
        <f t="shared" si="33"/>
        <v>2024</v>
      </c>
      <c r="L423" s="14" t="str">
        <f t="shared" si="34"/>
        <v>Completed</v>
      </c>
      <c r="M423" s="18" t="str">
        <f t="shared" si="32"/>
        <v>Returning</v>
      </c>
    </row>
    <row r="424" spans="1:13" ht="15" thickBot="1" x14ac:dyDescent="0.35">
      <c r="A424" s="17">
        <v>50423</v>
      </c>
      <c r="B424" s="14">
        <v>22720</v>
      </c>
      <c r="C424" s="14" t="s">
        <v>17</v>
      </c>
      <c r="D424" s="14">
        <v>23</v>
      </c>
      <c r="E424" s="15">
        <v>45310.726388888892</v>
      </c>
      <c r="F424" s="16">
        <v>4.93</v>
      </c>
      <c r="G424" s="14">
        <v>12329</v>
      </c>
      <c r="H424" s="14" t="s">
        <v>37</v>
      </c>
      <c r="I424" s="16">
        <f t="shared" si="30"/>
        <v>113.38999999999999</v>
      </c>
      <c r="J424" s="14" t="str">
        <f t="shared" si="31"/>
        <v>Jan</v>
      </c>
      <c r="K424" s="14">
        <f t="shared" si="33"/>
        <v>2024</v>
      </c>
      <c r="L424" s="14" t="str">
        <f t="shared" si="34"/>
        <v>Completed</v>
      </c>
      <c r="M424" s="18" t="str">
        <f t="shared" si="32"/>
        <v>New</v>
      </c>
    </row>
    <row r="425" spans="1:13" ht="15" thickBot="1" x14ac:dyDescent="0.35">
      <c r="A425" s="17">
        <v>50424</v>
      </c>
      <c r="B425" s="14" t="s">
        <v>39</v>
      </c>
      <c r="C425" s="14" t="s">
        <v>40</v>
      </c>
      <c r="D425" s="14">
        <v>3</v>
      </c>
      <c r="E425" s="15">
        <v>45455.525694444441</v>
      </c>
      <c r="F425" s="16">
        <v>1.85</v>
      </c>
      <c r="G425" s="14">
        <v>12689</v>
      </c>
      <c r="H425" s="14" t="s">
        <v>14</v>
      </c>
      <c r="I425" s="16">
        <f t="shared" si="30"/>
        <v>5.5500000000000007</v>
      </c>
      <c r="J425" s="14" t="str">
        <f t="shared" si="31"/>
        <v>Jun</v>
      </c>
      <c r="K425" s="14">
        <f t="shared" si="33"/>
        <v>2024</v>
      </c>
      <c r="L425" s="14" t="str">
        <f t="shared" si="34"/>
        <v>Completed</v>
      </c>
      <c r="M425" s="18" t="str">
        <f t="shared" si="32"/>
        <v>New</v>
      </c>
    </row>
    <row r="426" spans="1:13" ht="15" thickBot="1" x14ac:dyDescent="0.35">
      <c r="A426" s="17">
        <v>50425</v>
      </c>
      <c r="B426" s="14">
        <v>22720</v>
      </c>
      <c r="C426" s="14" t="s">
        <v>17</v>
      </c>
      <c r="D426" s="14">
        <v>2</v>
      </c>
      <c r="E426" s="15">
        <v>45406.7</v>
      </c>
      <c r="F426" s="16">
        <v>4.33</v>
      </c>
      <c r="G426" s="14">
        <v>12476</v>
      </c>
      <c r="H426" s="14" t="s">
        <v>22</v>
      </c>
      <c r="I426" s="16">
        <f t="shared" si="30"/>
        <v>8.66</v>
      </c>
      <c r="J426" s="14" t="str">
        <f t="shared" si="31"/>
        <v>Apr</v>
      </c>
      <c r="K426" s="14">
        <f t="shared" si="33"/>
        <v>2024</v>
      </c>
      <c r="L426" s="14" t="str">
        <f t="shared" si="34"/>
        <v>Completed</v>
      </c>
      <c r="M426" s="18" t="str">
        <f t="shared" si="32"/>
        <v>Returning</v>
      </c>
    </row>
    <row r="427" spans="1:13" ht="15" thickBot="1" x14ac:dyDescent="0.35">
      <c r="A427" s="17">
        <v>50426</v>
      </c>
      <c r="B427" s="14">
        <v>22960</v>
      </c>
      <c r="C427" s="14" t="s">
        <v>49</v>
      </c>
      <c r="D427" s="14">
        <v>18</v>
      </c>
      <c r="E427" s="15">
        <v>45459.394444444442</v>
      </c>
      <c r="F427" s="16">
        <v>4.16</v>
      </c>
      <c r="G427" s="14">
        <v>12298</v>
      </c>
      <c r="H427" s="14" t="s">
        <v>20</v>
      </c>
      <c r="I427" s="16">
        <f t="shared" si="30"/>
        <v>74.88</v>
      </c>
      <c r="J427" s="14" t="str">
        <f t="shared" si="31"/>
        <v>Jun</v>
      </c>
      <c r="K427" s="14">
        <f t="shared" si="33"/>
        <v>2024</v>
      </c>
      <c r="L427" s="14" t="str">
        <f t="shared" si="34"/>
        <v>Completed</v>
      </c>
      <c r="M427" s="18" t="str">
        <f t="shared" si="32"/>
        <v>Returning</v>
      </c>
    </row>
    <row r="428" spans="1:13" ht="15" thickBot="1" x14ac:dyDescent="0.35">
      <c r="A428" s="17">
        <v>50427</v>
      </c>
      <c r="B428" s="14">
        <v>22960</v>
      </c>
      <c r="C428" s="14" t="s">
        <v>49</v>
      </c>
      <c r="D428" s="14">
        <v>15</v>
      </c>
      <c r="E428" s="15">
        <v>45610.505555555559</v>
      </c>
      <c r="F428" s="16">
        <v>5.0599999999999996</v>
      </c>
      <c r="G428" s="14">
        <v>12791</v>
      </c>
      <c r="H428" s="14" t="s">
        <v>37</v>
      </c>
      <c r="I428" s="16">
        <f t="shared" si="30"/>
        <v>75.899999999999991</v>
      </c>
      <c r="J428" s="14" t="str">
        <f t="shared" si="31"/>
        <v>Nov</v>
      </c>
      <c r="K428" s="14">
        <f t="shared" si="33"/>
        <v>2024</v>
      </c>
      <c r="L428" s="14" t="str">
        <f t="shared" si="34"/>
        <v>Completed</v>
      </c>
      <c r="M428" s="18" t="str">
        <f t="shared" si="32"/>
        <v>New</v>
      </c>
    </row>
    <row r="429" spans="1:13" ht="15" thickBot="1" x14ac:dyDescent="0.35">
      <c r="A429" s="17">
        <v>50428</v>
      </c>
      <c r="B429" s="14" t="s">
        <v>15</v>
      </c>
      <c r="C429" s="14" t="s">
        <v>16</v>
      </c>
      <c r="D429" s="14">
        <v>1</v>
      </c>
      <c r="E429" s="15">
        <v>45417.44027777778</v>
      </c>
      <c r="F429" s="16">
        <v>2.5299999999999998</v>
      </c>
      <c r="G429" s="14">
        <v>12554</v>
      </c>
      <c r="H429" s="14" t="s">
        <v>18</v>
      </c>
      <c r="I429" s="16">
        <f t="shared" si="30"/>
        <v>2.5299999999999998</v>
      </c>
      <c r="J429" s="14" t="str">
        <f t="shared" si="31"/>
        <v>May</v>
      </c>
      <c r="K429" s="14">
        <f t="shared" si="33"/>
        <v>2024</v>
      </c>
      <c r="L429" s="14" t="str">
        <f t="shared" si="34"/>
        <v>Completed</v>
      </c>
      <c r="M429" s="18" t="str">
        <f t="shared" si="32"/>
        <v>Returning</v>
      </c>
    </row>
    <row r="430" spans="1:13" ht="15" thickBot="1" x14ac:dyDescent="0.35">
      <c r="A430" s="17">
        <v>50429</v>
      </c>
      <c r="B430" s="14" t="s">
        <v>31</v>
      </c>
      <c r="C430" s="14" t="s">
        <v>32</v>
      </c>
      <c r="D430" s="14">
        <v>22</v>
      </c>
      <c r="E430" s="15">
        <v>45463.334027777775</v>
      </c>
      <c r="F430" s="16">
        <v>2.83</v>
      </c>
      <c r="G430" s="14">
        <v>12314</v>
      </c>
      <c r="H430" s="14" t="s">
        <v>24</v>
      </c>
      <c r="I430" s="16">
        <f t="shared" si="30"/>
        <v>62.260000000000005</v>
      </c>
      <c r="J430" s="14" t="str">
        <f t="shared" si="31"/>
        <v>Jun</v>
      </c>
      <c r="K430" s="14">
        <f t="shared" si="33"/>
        <v>2024</v>
      </c>
      <c r="L430" s="14" t="str">
        <f t="shared" si="34"/>
        <v>Completed</v>
      </c>
      <c r="M430" s="18" t="str">
        <f t="shared" si="32"/>
        <v>Returning</v>
      </c>
    </row>
    <row r="431" spans="1:13" ht="15" thickBot="1" x14ac:dyDescent="0.35">
      <c r="A431" s="17">
        <v>50430</v>
      </c>
      <c r="B431" s="14">
        <v>22727</v>
      </c>
      <c r="C431" s="14" t="s">
        <v>46</v>
      </c>
      <c r="D431" s="14">
        <v>14</v>
      </c>
      <c r="E431" s="15">
        <v>45563.502083333333</v>
      </c>
      <c r="F431" s="16">
        <v>3.27</v>
      </c>
      <c r="G431" s="14">
        <v>12145</v>
      </c>
      <c r="H431" s="14" t="s">
        <v>22</v>
      </c>
      <c r="I431" s="16">
        <f t="shared" si="30"/>
        <v>45.78</v>
      </c>
      <c r="J431" s="14" t="str">
        <f t="shared" si="31"/>
        <v>Sep</v>
      </c>
      <c r="K431" s="14">
        <f t="shared" si="33"/>
        <v>2024</v>
      </c>
      <c r="L431" s="14" t="str">
        <f t="shared" si="34"/>
        <v>Completed</v>
      </c>
      <c r="M431" s="18" t="str">
        <f t="shared" si="32"/>
        <v>New</v>
      </c>
    </row>
    <row r="432" spans="1:13" ht="15" thickBot="1" x14ac:dyDescent="0.35">
      <c r="A432" s="17">
        <v>50431</v>
      </c>
      <c r="B432" s="14" t="s">
        <v>12</v>
      </c>
      <c r="C432" s="14" t="s">
        <v>13</v>
      </c>
      <c r="D432" s="14">
        <v>17</v>
      </c>
      <c r="E432" s="15">
        <v>45314.497916666667</v>
      </c>
      <c r="F432" s="16">
        <v>3.2</v>
      </c>
      <c r="G432" s="14">
        <v>12469</v>
      </c>
      <c r="H432" s="14" t="s">
        <v>24</v>
      </c>
      <c r="I432" s="16">
        <f t="shared" si="30"/>
        <v>54.400000000000006</v>
      </c>
      <c r="J432" s="14" t="str">
        <f t="shared" si="31"/>
        <v>Jan</v>
      </c>
      <c r="K432" s="14">
        <f t="shared" si="33"/>
        <v>2024</v>
      </c>
      <c r="L432" s="14" t="str">
        <f t="shared" si="34"/>
        <v>Completed</v>
      </c>
      <c r="M432" s="18" t="str">
        <f t="shared" si="32"/>
        <v>New</v>
      </c>
    </row>
    <row r="433" spans="1:13" ht="15" thickBot="1" x14ac:dyDescent="0.35">
      <c r="A433" s="17">
        <v>50432</v>
      </c>
      <c r="B433" s="14" t="s">
        <v>43</v>
      </c>
      <c r="C433" s="14" t="s">
        <v>44</v>
      </c>
      <c r="D433" s="14">
        <v>5</v>
      </c>
      <c r="E433" s="15">
        <v>45340.692361111112</v>
      </c>
      <c r="F433" s="16">
        <v>1.24</v>
      </c>
      <c r="G433" s="14">
        <v>12606</v>
      </c>
      <c r="H433" s="14" t="s">
        <v>20</v>
      </c>
      <c r="I433" s="16">
        <f t="shared" si="30"/>
        <v>6.2</v>
      </c>
      <c r="J433" s="14" t="str">
        <f t="shared" si="31"/>
        <v>Feb</v>
      </c>
      <c r="K433" s="14">
        <f t="shared" si="33"/>
        <v>2024</v>
      </c>
      <c r="L433" s="14" t="str">
        <f t="shared" si="34"/>
        <v>Completed</v>
      </c>
      <c r="M433" s="18" t="str">
        <f t="shared" si="32"/>
        <v>Wholesale</v>
      </c>
    </row>
    <row r="434" spans="1:13" ht="15" thickBot="1" x14ac:dyDescent="0.35">
      <c r="A434" s="17">
        <v>50433</v>
      </c>
      <c r="B434" s="14">
        <v>71053</v>
      </c>
      <c r="C434" s="14" t="s">
        <v>38</v>
      </c>
      <c r="D434" s="14">
        <v>8</v>
      </c>
      <c r="E434" s="15">
        <v>45514.425694444442</v>
      </c>
      <c r="F434" s="16">
        <v>3.89</v>
      </c>
      <c r="G434" s="14">
        <v>12948</v>
      </c>
      <c r="H434" s="14" t="s">
        <v>26</v>
      </c>
      <c r="I434" s="16">
        <f t="shared" si="30"/>
        <v>31.12</v>
      </c>
      <c r="J434" s="14" t="str">
        <f t="shared" si="31"/>
        <v>Aug</v>
      </c>
      <c r="K434" s="14">
        <f t="shared" si="33"/>
        <v>2024</v>
      </c>
      <c r="L434" s="14" t="str">
        <f t="shared" si="34"/>
        <v>Completed</v>
      </c>
      <c r="M434" s="18" t="str">
        <f t="shared" si="32"/>
        <v>Wholesale</v>
      </c>
    </row>
    <row r="435" spans="1:13" ht="15" thickBot="1" x14ac:dyDescent="0.35">
      <c r="A435" s="17">
        <v>50434</v>
      </c>
      <c r="B435" s="14">
        <v>22086</v>
      </c>
      <c r="C435" s="14" t="s">
        <v>41</v>
      </c>
      <c r="D435" s="14">
        <v>9</v>
      </c>
      <c r="E435" s="15">
        <v>45454.654861111114</v>
      </c>
      <c r="F435" s="16">
        <v>3.48</v>
      </c>
      <c r="G435" s="14">
        <v>12139</v>
      </c>
      <c r="H435" s="14" t="s">
        <v>20</v>
      </c>
      <c r="I435" s="16">
        <f t="shared" si="30"/>
        <v>31.32</v>
      </c>
      <c r="J435" s="14" t="str">
        <f t="shared" si="31"/>
        <v>Jun</v>
      </c>
      <c r="K435" s="14">
        <f t="shared" si="33"/>
        <v>2024</v>
      </c>
      <c r="L435" s="14" t="str">
        <f t="shared" si="34"/>
        <v>Completed</v>
      </c>
      <c r="M435" s="18" t="str">
        <f t="shared" si="32"/>
        <v>New</v>
      </c>
    </row>
    <row r="436" spans="1:13" ht="15" thickBot="1" x14ac:dyDescent="0.35">
      <c r="A436" s="17">
        <v>50435</v>
      </c>
      <c r="B436" s="14" t="s">
        <v>8</v>
      </c>
      <c r="C436" s="14" t="s">
        <v>9</v>
      </c>
      <c r="D436" s="14">
        <v>6</v>
      </c>
      <c r="E436" s="15">
        <v>45371.408333333333</v>
      </c>
      <c r="F436" s="16">
        <v>3.25</v>
      </c>
      <c r="G436" s="14">
        <v>12123</v>
      </c>
      <c r="H436" s="14" t="s">
        <v>10</v>
      </c>
      <c r="I436" s="16">
        <f t="shared" si="30"/>
        <v>19.5</v>
      </c>
      <c r="J436" s="14" t="str">
        <f t="shared" si="31"/>
        <v>Mar</v>
      </c>
      <c r="K436" s="14">
        <f t="shared" si="33"/>
        <v>2024</v>
      </c>
      <c r="L436" s="14" t="str">
        <f t="shared" si="34"/>
        <v>Completed</v>
      </c>
      <c r="M436" s="18" t="str">
        <f t="shared" si="32"/>
        <v>Wholesale</v>
      </c>
    </row>
    <row r="437" spans="1:13" ht="15" thickBot="1" x14ac:dyDescent="0.35">
      <c r="A437" s="17">
        <v>50436</v>
      </c>
      <c r="B437" s="14">
        <v>21212</v>
      </c>
      <c r="C437" s="14" t="s">
        <v>21</v>
      </c>
      <c r="D437" s="14">
        <v>10</v>
      </c>
      <c r="E437" s="15">
        <v>45398.654166666667</v>
      </c>
      <c r="F437" s="16">
        <v>0.63</v>
      </c>
      <c r="G437" s="14">
        <v>12092</v>
      </c>
      <c r="H437" s="14" t="s">
        <v>23</v>
      </c>
      <c r="I437" s="16">
        <f t="shared" si="30"/>
        <v>6.3</v>
      </c>
      <c r="J437" s="14" t="str">
        <f t="shared" si="31"/>
        <v>Apr</v>
      </c>
      <c r="K437" s="14">
        <f t="shared" si="33"/>
        <v>2024</v>
      </c>
      <c r="L437" s="14" t="str">
        <f t="shared" si="34"/>
        <v>Completed</v>
      </c>
      <c r="M437" s="18" t="str">
        <f t="shared" si="32"/>
        <v>Returning</v>
      </c>
    </row>
    <row r="438" spans="1:13" ht="15" thickBot="1" x14ac:dyDescent="0.35">
      <c r="A438" s="17">
        <v>50437</v>
      </c>
      <c r="B438" s="14">
        <v>22960</v>
      </c>
      <c r="C438" s="14" t="s">
        <v>49</v>
      </c>
      <c r="D438" s="14">
        <v>7</v>
      </c>
      <c r="E438" s="15">
        <v>45652.361805555556</v>
      </c>
      <c r="F438" s="16">
        <v>4.0999999999999996</v>
      </c>
      <c r="G438" s="14">
        <v>12093</v>
      </c>
      <c r="H438" s="14" t="s">
        <v>37</v>
      </c>
      <c r="I438" s="16">
        <f t="shared" si="30"/>
        <v>28.699999999999996</v>
      </c>
      <c r="J438" s="14" t="str">
        <f t="shared" si="31"/>
        <v>Dec</v>
      </c>
      <c r="K438" s="14">
        <f t="shared" si="33"/>
        <v>2024</v>
      </c>
      <c r="L438" s="14" t="str">
        <f t="shared" si="34"/>
        <v>Completed</v>
      </c>
      <c r="M438" s="18" t="str">
        <f t="shared" si="32"/>
        <v>Wholesale</v>
      </c>
    </row>
    <row r="439" spans="1:13" ht="15" thickBot="1" x14ac:dyDescent="0.35">
      <c r="A439" s="17">
        <v>50438</v>
      </c>
      <c r="B439" s="14">
        <v>21212</v>
      </c>
      <c r="C439" s="14" t="s">
        <v>21</v>
      </c>
      <c r="D439" s="14">
        <v>2</v>
      </c>
      <c r="E439" s="15">
        <v>45494.697916666664</v>
      </c>
      <c r="F439" s="16">
        <v>0.52</v>
      </c>
      <c r="G439" s="14">
        <v>12178</v>
      </c>
      <c r="H439" s="14" t="s">
        <v>14</v>
      </c>
      <c r="I439" s="16">
        <f t="shared" si="30"/>
        <v>1.04</v>
      </c>
      <c r="J439" s="14" t="str">
        <f t="shared" si="31"/>
        <v>Jul</v>
      </c>
      <c r="K439" s="14">
        <f t="shared" si="33"/>
        <v>2024</v>
      </c>
      <c r="L439" s="14" t="str">
        <f t="shared" si="34"/>
        <v>Completed</v>
      </c>
      <c r="M439" s="18" t="str">
        <f t="shared" si="32"/>
        <v>Returning</v>
      </c>
    </row>
    <row r="440" spans="1:13" ht="15" thickBot="1" x14ac:dyDescent="0.35">
      <c r="A440" s="17">
        <v>50439</v>
      </c>
      <c r="B440" s="14">
        <v>22386</v>
      </c>
      <c r="C440" s="14" t="s">
        <v>29</v>
      </c>
      <c r="D440" s="14">
        <v>24</v>
      </c>
      <c r="E440" s="15">
        <v>45523.728472222225</v>
      </c>
      <c r="F440" s="16">
        <v>1.72</v>
      </c>
      <c r="G440" s="14">
        <v>12104</v>
      </c>
      <c r="H440" s="14" t="s">
        <v>23</v>
      </c>
      <c r="I440" s="16">
        <f t="shared" si="30"/>
        <v>41.28</v>
      </c>
      <c r="J440" s="14" t="str">
        <f t="shared" si="31"/>
        <v>Aug</v>
      </c>
      <c r="K440" s="14">
        <f t="shared" si="33"/>
        <v>2024</v>
      </c>
      <c r="L440" s="14" t="str">
        <f t="shared" si="34"/>
        <v>Completed</v>
      </c>
      <c r="M440" s="18" t="str">
        <f t="shared" si="32"/>
        <v>Returning</v>
      </c>
    </row>
    <row r="441" spans="1:13" ht="15" thickBot="1" x14ac:dyDescent="0.35">
      <c r="A441" s="17">
        <v>50440</v>
      </c>
      <c r="B441" s="14" t="s">
        <v>8</v>
      </c>
      <c r="C441" s="14" t="s">
        <v>9</v>
      </c>
      <c r="D441" s="14">
        <v>8</v>
      </c>
      <c r="E441" s="15">
        <v>45298.377083333333</v>
      </c>
      <c r="F441" s="16">
        <v>3.86</v>
      </c>
      <c r="G441" s="14">
        <v>12381</v>
      </c>
      <c r="H441" s="14" t="s">
        <v>24</v>
      </c>
      <c r="I441" s="16">
        <f t="shared" si="30"/>
        <v>30.88</v>
      </c>
      <c r="J441" s="14" t="str">
        <f t="shared" si="31"/>
        <v>Jan</v>
      </c>
      <c r="K441" s="14">
        <f t="shared" si="33"/>
        <v>2024</v>
      </c>
      <c r="L441" s="14" t="str">
        <f t="shared" si="34"/>
        <v>Completed</v>
      </c>
      <c r="M441" s="18" t="str">
        <f t="shared" si="32"/>
        <v>Wholesale</v>
      </c>
    </row>
    <row r="442" spans="1:13" ht="15" thickBot="1" x14ac:dyDescent="0.35">
      <c r="A442" s="17" t="s">
        <v>77</v>
      </c>
      <c r="B442" s="14" t="s">
        <v>43</v>
      </c>
      <c r="C442" s="14" t="s">
        <v>44</v>
      </c>
      <c r="D442" s="14">
        <v>-1</v>
      </c>
      <c r="E442" s="15">
        <v>45592.517361111109</v>
      </c>
      <c r="F442" s="16">
        <v>1.1499999999999999</v>
      </c>
      <c r="G442" s="14">
        <v>12661</v>
      </c>
      <c r="H442" s="14" t="s">
        <v>28</v>
      </c>
      <c r="I442" s="16">
        <f t="shared" si="30"/>
        <v>-1.1499999999999999</v>
      </c>
      <c r="J442" s="14" t="str">
        <f t="shared" si="31"/>
        <v>Oct</v>
      </c>
      <c r="K442" s="14">
        <f t="shared" si="33"/>
        <v>2024</v>
      </c>
      <c r="L442" s="14" t="str">
        <f t="shared" si="34"/>
        <v>Cancelled</v>
      </c>
      <c r="M442" s="18" t="str">
        <f t="shared" si="32"/>
        <v>New</v>
      </c>
    </row>
    <row r="443" spans="1:13" ht="15" thickBot="1" x14ac:dyDescent="0.35">
      <c r="A443" s="17" t="s">
        <v>78</v>
      </c>
      <c r="B443" s="14">
        <v>84879</v>
      </c>
      <c r="C443" s="14" t="s">
        <v>45</v>
      </c>
      <c r="D443" s="14">
        <v>-4</v>
      </c>
      <c r="E443" s="15">
        <v>45339.568749999999</v>
      </c>
      <c r="F443" s="16">
        <v>1.47</v>
      </c>
      <c r="G443" s="14">
        <v>12946</v>
      </c>
      <c r="H443" s="14" t="s">
        <v>20</v>
      </c>
      <c r="I443" s="16">
        <f t="shared" si="30"/>
        <v>-5.88</v>
      </c>
      <c r="J443" s="14" t="str">
        <f t="shared" si="31"/>
        <v>Feb</v>
      </c>
      <c r="K443" s="14">
        <f t="shared" si="33"/>
        <v>2024</v>
      </c>
      <c r="L443" s="14" t="str">
        <f t="shared" si="34"/>
        <v>Cancelled</v>
      </c>
      <c r="M443" s="18" t="str">
        <f t="shared" si="32"/>
        <v>Returning</v>
      </c>
    </row>
    <row r="444" spans="1:13" ht="15" thickBot="1" x14ac:dyDescent="0.35">
      <c r="A444" s="17">
        <v>50443</v>
      </c>
      <c r="B444" s="14" t="s">
        <v>39</v>
      </c>
      <c r="C444" s="14" t="s">
        <v>40</v>
      </c>
      <c r="D444" s="14">
        <v>1</v>
      </c>
      <c r="E444" s="15">
        <v>45494.686111111114</v>
      </c>
      <c r="F444" s="16">
        <v>2.08</v>
      </c>
      <c r="G444" s="14">
        <v>12362</v>
      </c>
      <c r="H444" s="14" t="s">
        <v>37</v>
      </c>
      <c r="I444" s="16">
        <f t="shared" si="30"/>
        <v>2.08</v>
      </c>
      <c r="J444" s="14" t="str">
        <f t="shared" si="31"/>
        <v>Jul</v>
      </c>
      <c r="K444" s="14">
        <f t="shared" si="33"/>
        <v>2024</v>
      </c>
      <c r="L444" s="14" t="str">
        <f t="shared" si="34"/>
        <v>Completed</v>
      </c>
      <c r="M444" s="18" t="str">
        <f t="shared" si="32"/>
        <v>Returning</v>
      </c>
    </row>
    <row r="445" spans="1:13" ht="15" thickBot="1" x14ac:dyDescent="0.35">
      <c r="A445" s="17">
        <v>50444</v>
      </c>
      <c r="B445" s="14">
        <v>22720</v>
      </c>
      <c r="C445" s="14" t="s">
        <v>17</v>
      </c>
      <c r="D445" s="14">
        <v>15</v>
      </c>
      <c r="E445" s="15">
        <v>45432.531944444447</v>
      </c>
      <c r="F445" s="16">
        <v>4.2699999999999996</v>
      </c>
      <c r="G445" s="14">
        <v>12634</v>
      </c>
      <c r="H445" s="14" t="s">
        <v>20</v>
      </c>
      <c r="I445" s="16">
        <f t="shared" si="30"/>
        <v>64.05</v>
      </c>
      <c r="J445" s="14" t="str">
        <f t="shared" si="31"/>
        <v>May</v>
      </c>
      <c r="K445" s="14">
        <f t="shared" si="33"/>
        <v>2024</v>
      </c>
      <c r="L445" s="14" t="str">
        <f t="shared" si="34"/>
        <v>Completed</v>
      </c>
      <c r="M445" s="18" t="str">
        <f t="shared" si="32"/>
        <v>Returning</v>
      </c>
    </row>
    <row r="446" spans="1:13" ht="15" thickBot="1" x14ac:dyDescent="0.35">
      <c r="A446" s="17">
        <v>50445</v>
      </c>
      <c r="B446" s="14">
        <v>22423</v>
      </c>
      <c r="C446" s="14" t="s">
        <v>36</v>
      </c>
      <c r="D446" s="14">
        <v>16</v>
      </c>
      <c r="E446" s="15">
        <v>45623.543055555558</v>
      </c>
      <c r="F446" s="16">
        <v>13.29</v>
      </c>
      <c r="G446" s="14">
        <v>12062</v>
      </c>
      <c r="H446" s="14" t="s">
        <v>24</v>
      </c>
      <c r="I446" s="16">
        <f t="shared" si="30"/>
        <v>212.64</v>
      </c>
      <c r="J446" s="14" t="str">
        <f t="shared" si="31"/>
        <v>Nov</v>
      </c>
      <c r="K446" s="14">
        <f t="shared" si="33"/>
        <v>2024</v>
      </c>
      <c r="L446" s="14" t="str">
        <f t="shared" si="34"/>
        <v>Completed</v>
      </c>
      <c r="M446" s="18" t="str">
        <f t="shared" si="32"/>
        <v>Returning</v>
      </c>
    </row>
    <row r="447" spans="1:13" ht="15" thickBot="1" x14ac:dyDescent="0.35">
      <c r="A447" s="17">
        <v>50446</v>
      </c>
      <c r="B447" s="14">
        <v>47566</v>
      </c>
      <c r="C447" s="14" t="s">
        <v>27</v>
      </c>
      <c r="D447" s="14">
        <v>14</v>
      </c>
      <c r="E447" s="15">
        <v>45488.430555555555</v>
      </c>
      <c r="F447" s="16">
        <v>5.74</v>
      </c>
      <c r="G447" s="14">
        <v>12538</v>
      </c>
      <c r="H447" s="14" t="s">
        <v>37</v>
      </c>
      <c r="I447" s="16">
        <f t="shared" si="30"/>
        <v>80.36</v>
      </c>
      <c r="J447" s="14" t="str">
        <f t="shared" si="31"/>
        <v>Jul</v>
      </c>
      <c r="K447" s="14">
        <f t="shared" si="33"/>
        <v>2024</v>
      </c>
      <c r="L447" s="14" t="str">
        <f t="shared" si="34"/>
        <v>Completed</v>
      </c>
      <c r="M447" s="18" t="str">
        <f t="shared" si="32"/>
        <v>Returning</v>
      </c>
    </row>
    <row r="448" spans="1:13" ht="15" thickBot="1" x14ac:dyDescent="0.35">
      <c r="A448" s="17">
        <v>50447</v>
      </c>
      <c r="B448" s="14" t="s">
        <v>15</v>
      </c>
      <c r="C448" s="14" t="s">
        <v>16</v>
      </c>
      <c r="D448" s="14">
        <v>23</v>
      </c>
      <c r="E448" s="15">
        <v>45301.604861111111</v>
      </c>
      <c r="F448" s="16">
        <v>3.07</v>
      </c>
      <c r="G448" s="14">
        <v>12496</v>
      </c>
      <c r="H448" s="14" t="s">
        <v>18</v>
      </c>
      <c r="I448" s="16">
        <f t="shared" si="30"/>
        <v>70.61</v>
      </c>
      <c r="J448" s="14" t="str">
        <f t="shared" si="31"/>
        <v>Jan</v>
      </c>
      <c r="K448" s="14">
        <f t="shared" si="33"/>
        <v>2024</v>
      </c>
      <c r="L448" s="14" t="str">
        <f t="shared" si="34"/>
        <v>Completed</v>
      </c>
      <c r="M448" s="18" t="str">
        <f t="shared" si="32"/>
        <v>Returning</v>
      </c>
    </row>
    <row r="449" spans="1:13" ht="15" thickBot="1" x14ac:dyDescent="0.35">
      <c r="A449" s="17">
        <v>50448</v>
      </c>
      <c r="B449" s="14" t="s">
        <v>43</v>
      </c>
      <c r="C449" s="14" t="s">
        <v>44</v>
      </c>
      <c r="D449" s="14">
        <v>13</v>
      </c>
      <c r="E449" s="15">
        <v>45549.561805555553</v>
      </c>
      <c r="F449" s="16">
        <v>1.07</v>
      </c>
      <c r="G449" s="14">
        <v>12611</v>
      </c>
      <c r="H449" s="14" t="s">
        <v>37</v>
      </c>
      <c r="I449" s="16">
        <f t="shared" si="30"/>
        <v>13.91</v>
      </c>
      <c r="J449" s="14" t="str">
        <f t="shared" si="31"/>
        <v>Sep</v>
      </c>
      <c r="K449" s="14">
        <f t="shared" si="33"/>
        <v>2024</v>
      </c>
      <c r="L449" s="14" t="str">
        <f t="shared" si="34"/>
        <v>Completed</v>
      </c>
      <c r="M449" s="18" t="str">
        <f t="shared" si="32"/>
        <v>New</v>
      </c>
    </row>
    <row r="450" spans="1:13" ht="15" thickBot="1" x14ac:dyDescent="0.35">
      <c r="A450" s="17">
        <v>50449</v>
      </c>
      <c r="B450" s="14" t="s">
        <v>31</v>
      </c>
      <c r="C450" s="14" t="s">
        <v>32</v>
      </c>
      <c r="D450" s="14">
        <v>16</v>
      </c>
      <c r="E450" s="15">
        <v>45435.374305555553</v>
      </c>
      <c r="F450" s="16">
        <v>2.85</v>
      </c>
      <c r="G450" s="14">
        <v>12238</v>
      </c>
      <c r="H450" s="14" t="s">
        <v>23</v>
      </c>
      <c r="I450" s="16">
        <f t="shared" ref="I450:I501" si="35">D450*F450</f>
        <v>45.6</v>
      </c>
      <c r="J450" s="14" t="str">
        <f t="shared" ref="J450:J501" si="36">TEXT(E450,"mmm")</f>
        <v>May</v>
      </c>
      <c r="K450" s="14">
        <f t="shared" si="33"/>
        <v>2024</v>
      </c>
      <c r="L450" s="14" t="str">
        <f t="shared" si="34"/>
        <v>Completed</v>
      </c>
      <c r="M450" s="18" t="str">
        <f t="shared" ref="M450:M501" si="37">IF(G450=0,"Unknown",IF(MOD(G450,3)=0,"Wholesale",IF(MOD(G450,2)=0,"Returning","New")))</f>
        <v>Returning</v>
      </c>
    </row>
    <row r="451" spans="1:13" ht="15" thickBot="1" x14ac:dyDescent="0.35">
      <c r="A451" s="17">
        <v>50450</v>
      </c>
      <c r="B451" s="14" t="s">
        <v>8</v>
      </c>
      <c r="C451" s="14" t="s">
        <v>9</v>
      </c>
      <c r="D451" s="14">
        <v>9</v>
      </c>
      <c r="E451" s="15">
        <v>45418.504166666666</v>
      </c>
      <c r="F451" s="16">
        <v>3.82</v>
      </c>
      <c r="G451" s="14">
        <v>12754</v>
      </c>
      <c r="H451" s="14" t="s">
        <v>14</v>
      </c>
      <c r="I451" s="16">
        <f t="shared" si="35"/>
        <v>34.379999999999995</v>
      </c>
      <c r="J451" s="14" t="str">
        <f t="shared" si="36"/>
        <v>May</v>
      </c>
      <c r="K451" s="14">
        <f t="shared" ref="K451:K501" si="38">YEAR(E451)</f>
        <v>2024</v>
      </c>
      <c r="L451" s="14" t="str">
        <f t="shared" ref="L451:L501" si="39">IF(OR(LEFT(A451,1)="C",D451&lt;0),"Cancelled","Completed")</f>
        <v>Completed</v>
      </c>
      <c r="M451" s="18" t="str">
        <f t="shared" si="37"/>
        <v>Returning</v>
      </c>
    </row>
    <row r="452" spans="1:13" ht="15" thickBot="1" x14ac:dyDescent="0.35">
      <c r="A452" s="17">
        <v>50451</v>
      </c>
      <c r="B452" s="14">
        <v>22423</v>
      </c>
      <c r="C452" s="14" t="s">
        <v>36</v>
      </c>
      <c r="D452" s="14">
        <v>12</v>
      </c>
      <c r="E452" s="15">
        <v>45586.609027777777</v>
      </c>
      <c r="F452" s="16">
        <v>15.26</v>
      </c>
      <c r="G452" s="14">
        <v>12177</v>
      </c>
      <c r="H452" s="14" t="s">
        <v>23</v>
      </c>
      <c r="I452" s="16">
        <f t="shared" si="35"/>
        <v>183.12</v>
      </c>
      <c r="J452" s="14" t="str">
        <f t="shared" si="36"/>
        <v>Oct</v>
      </c>
      <c r="K452" s="14">
        <f t="shared" si="38"/>
        <v>2024</v>
      </c>
      <c r="L452" s="14" t="str">
        <f t="shared" si="39"/>
        <v>Completed</v>
      </c>
      <c r="M452" s="18" t="str">
        <f t="shared" si="37"/>
        <v>Wholesale</v>
      </c>
    </row>
    <row r="453" spans="1:13" ht="15" thickBot="1" x14ac:dyDescent="0.35">
      <c r="A453" s="17">
        <v>50452</v>
      </c>
      <c r="B453" s="14">
        <v>22423</v>
      </c>
      <c r="C453" s="14" t="s">
        <v>36</v>
      </c>
      <c r="D453" s="14">
        <v>24</v>
      </c>
      <c r="E453" s="15">
        <v>45595.559027777781</v>
      </c>
      <c r="F453" s="16">
        <v>14.92</v>
      </c>
      <c r="G453" s="14">
        <v>12028</v>
      </c>
      <c r="H453" s="14" t="s">
        <v>18</v>
      </c>
      <c r="I453" s="16">
        <f t="shared" si="35"/>
        <v>358.08</v>
      </c>
      <c r="J453" s="14" t="str">
        <f t="shared" si="36"/>
        <v>Oct</v>
      </c>
      <c r="K453" s="14">
        <f t="shared" si="38"/>
        <v>2024</v>
      </c>
      <c r="L453" s="14" t="str">
        <f t="shared" si="39"/>
        <v>Completed</v>
      </c>
      <c r="M453" s="18" t="str">
        <f t="shared" si="37"/>
        <v>Returning</v>
      </c>
    </row>
    <row r="454" spans="1:13" ht="15" thickBot="1" x14ac:dyDescent="0.35">
      <c r="A454" s="17">
        <v>50453</v>
      </c>
      <c r="B454" s="14" t="s">
        <v>43</v>
      </c>
      <c r="C454" s="14" t="s">
        <v>44</v>
      </c>
      <c r="D454" s="14">
        <v>19</v>
      </c>
      <c r="E454" s="15">
        <v>45580.434027777781</v>
      </c>
      <c r="F454" s="16">
        <v>1.43</v>
      </c>
      <c r="G454" s="14">
        <v>12829</v>
      </c>
      <c r="H454" s="14" t="s">
        <v>28</v>
      </c>
      <c r="I454" s="16">
        <f t="shared" si="35"/>
        <v>27.169999999999998</v>
      </c>
      <c r="J454" s="14" t="str">
        <f t="shared" si="36"/>
        <v>Oct</v>
      </c>
      <c r="K454" s="14">
        <f t="shared" si="38"/>
        <v>2024</v>
      </c>
      <c r="L454" s="14" t="str">
        <f t="shared" si="39"/>
        <v>Completed</v>
      </c>
      <c r="M454" s="18" t="str">
        <f t="shared" si="37"/>
        <v>New</v>
      </c>
    </row>
    <row r="455" spans="1:13" ht="15" thickBot="1" x14ac:dyDescent="0.35">
      <c r="A455" s="17" t="s">
        <v>79</v>
      </c>
      <c r="B455" s="14" t="s">
        <v>15</v>
      </c>
      <c r="C455" s="14" t="s">
        <v>16</v>
      </c>
      <c r="D455" s="14">
        <v>-1</v>
      </c>
      <c r="E455" s="15">
        <v>45450.457638888889</v>
      </c>
      <c r="F455" s="16">
        <v>2.75</v>
      </c>
      <c r="G455" s="14">
        <v>12224</v>
      </c>
      <c r="H455" s="14" t="s">
        <v>14</v>
      </c>
      <c r="I455" s="16">
        <f t="shared" si="35"/>
        <v>-2.75</v>
      </c>
      <c r="J455" s="14" t="str">
        <f t="shared" si="36"/>
        <v>Jun</v>
      </c>
      <c r="K455" s="14">
        <f t="shared" si="38"/>
        <v>2024</v>
      </c>
      <c r="L455" s="14" t="str">
        <f t="shared" si="39"/>
        <v>Cancelled</v>
      </c>
      <c r="M455" s="18" t="str">
        <f t="shared" si="37"/>
        <v>Returning</v>
      </c>
    </row>
    <row r="456" spans="1:13" ht="15" thickBot="1" x14ac:dyDescent="0.35">
      <c r="A456" s="17">
        <v>50455</v>
      </c>
      <c r="B456" s="14" t="s">
        <v>33</v>
      </c>
      <c r="C456" s="14" t="s">
        <v>34</v>
      </c>
      <c r="D456" s="14">
        <v>11</v>
      </c>
      <c r="E456" s="15">
        <v>45536.333333333336</v>
      </c>
      <c r="F456" s="16">
        <v>16.57</v>
      </c>
      <c r="G456" s="14">
        <v>12133</v>
      </c>
      <c r="H456" s="14" t="s">
        <v>18</v>
      </c>
      <c r="I456" s="16">
        <f t="shared" si="35"/>
        <v>182.27</v>
      </c>
      <c r="J456" s="14" t="str">
        <f t="shared" si="36"/>
        <v>Sep</v>
      </c>
      <c r="K456" s="14">
        <f t="shared" si="38"/>
        <v>2024</v>
      </c>
      <c r="L456" s="14" t="str">
        <f t="shared" si="39"/>
        <v>Completed</v>
      </c>
      <c r="M456" s="18" t="str">
        <f t="shared" si="37"/>
        <v>New</v>
      </c>
    </row>
    <row r="457" spans="1:13" ht="15" thickBot="1" x14ac:dyDescent="0.35">
      <c r="A457" s="17">
        <v>50456</v>
      </c>
      <c r="B457" s="14">
        <v>22720</v>
      </c>
      <c r="C457" s="14" t="s">
        <v>17</v>
      </c>
      <c r="D457" s="14">
        <v>1</v>
      </c>
      <c r="E457" s="15">
        <v>45457.375</v>
      </c>
      <c r="F457" s="16">
        <v>5.43</v>
      </c>
      <c r="G457" s="14">
        <v>12145</v>
      </c>
      <c r="H457" s="14" t="s">
        <v>24</v>
      </c>
      <c r="I457" s="16">
        <f t="shared" si="35"/>
        <v>5.43</v>
      </c>
      <c r="J457" s="14" t="str">
        <f t="shared" si="36"/>
        <v>Jun</v>
      </c>
      <c r="K457" s="14">
        <f t="shared" si="38"/>
        <v>2024</v>
      </c>
      <c r="L457" s="14" t="str">
        <f t="shared" si="39"/>
        <v>Completed</v>
      </c>
      <c r="M457" s="18" t="str">
        <f t="shared" si="37"/>
        <v>New</v>
      </c>
    </row>
    <row r="458" spans="1:13" ht="15" thickBot="1" x14ac:dyDescent="0.35">
      <c r="A458" s="17">
        <v>50457</v>
      </c>
      <c r="B458" s="14" t="s">
        <v>33</v>
      </c>
      <c r="C458" s="14" t="s">
        <v>34</v>
      </c>
      <c r="D458" s="14">
        <v>12</v>
      </c>
      <c r="E458" s="15">
        <v>45478.384722222225</v>
      </c>
      <c r="F458" s="16">
        <v>19.47</v>
      </c>
      <c r="G458" s="14">
        <v>12600</v>
      </c>
      <c r="H458" s="14" t="s">
        <v>24</v>
      </c>
      <c r="I458" s="16">
        <f t="shared" si="35"/>
        <v>233.64</v>
      </c>
      <c r="J458" s="14" t="str">
        <f t="shared" si="36"/>
        <v>Jul</v>
      </c>
      <c r="K458" s="14">
        <f t="shared" si="38"/>
        <v>2024</v>
      </c>
      <c r="L458" s="14" t="str">
        <f t="shared" si="39"/>
        <v>Completed</v>
      </c>
      <c r="M458" s="18" t="str">
        <f t="shared" si="37"/>
        <v>Wholesale</v>
      </c>
    </row>
    <row r="459" spans="1:13" ht="15" thickBot="1" x14ac:dyDescent="0.35">
      <c r="A459" s="17">
        <v>50458</v>
      </c>
      <c r="B459" s="14">
        <v>22086</v>
      </c>
      <c r="C459" s="14" t="s">
        <v>41</v>
      </c>
      <c r="D459" s="14">
        <v>5</v>
      </c>
      <c r="E459" s="15">
        <v>45446.5625</v>
      </c>
      <c r="F459" s="16">
        <v>3.26</v>
      </c>
      <c r="G459" s="14">
        <v>12447</v>
      </c>
      <c r="H459" s="14" t="s">
        <v>28</v>
      </c>
      <c r="I459" s="16">
        <f t="shared" si="35"/>
        <v>16.299999999999997</v>
      </c>
      <c r="J459" s="14" t="str">
        <f t="shared" si="36"/>
        <v>Jun</v>
      </c>
      <c r="K459" s="14">
        <f t="shared" si="38"/>
        <v>2024</v>
      </c>
      <c r="L459" s="14" t="str">
        <f t="shared" si="39"/>
        <v>Completed</v>
      </c>
      <c r="M459" s="18" t="str">
        <f t="shared" si="37"/>
        <v>Wholesale</v>
      </c>
    </row>
    <row r="460" spans="1:13" ht="15" thickBot="1" x14ac:dyDescent="0.35">
      <c r="A460" s="17">
        <v>50459</v>
      </c>
      <c r="B460" s="14">
        <v>22086</v>
      </c>
      <c r="C460" s="14" t="s">
        <v>41</v>
      </c>
      <c r="D460" s="14">
        <v>23</v>
      </c>
      <c r="E460" s="15">
        <v>45381.732638888891</v>
      </c>
      <c r="F460" s="16">
        <v>3.14</v>
      </c>
      <c r="G460" s="14">
        <v>12365</v>
      </c>
      <c r="H460" s="14" t="s">
        <v>37</v>
      </c>
      <c r="I460" s="16">
        <f t="shared" si="35"/>
        <v>72.22</v>
      </c>
      <c r="J460" s="14" t="str">
        <f t="shared" si="36"/>
        <v>Mar</v>
      </c>
      <c r="K460" s="14">
        <f t="shared" si="38"/>
        <v>2024</v>
      </c>
      <c r="L460" s="14" t="str">
        <f t="shared" si="39"/>
        <v>Completed</v>
      </c>
      <c r="M460" s="18" t="str">
        <f t="shared" si="37"/>
        <v>New</v>
      </c>
    </row>
    <row r="461" spans="1:13" ht="15" thickBot="1" x14ac:dyDescent="0.35">
      <c r="A461" s="17">
        <v>50460</v>
      </c>
      <c r="B461" s="14" t="s">
        <v>43</v>
      </c>
      <c r="C461" s="14" t="s">
        <v>44</v>
      </c>
      <c r="D461" s="14">
        <v>10</v>
      </c>
      <c r="E461" s="15">
        <v>45381.602083333331</v>
      </c>
      <c r="F461" s="16">
        <v>1.19</v>
      </c>
      <c r="G461" s="14">
        <v>12181</v>
      </c>
      <c r="H461" s="14" t="s">
        <v>14</v>
      </c>
      <c r="I461" s="16">
        <f t="shared" si="35"/>
        <v>11.899999999999999</v>
      </c>
      <c r="J461" s="14" t="str">
        <f t="shared" si="36"/>
        <v>Mar</v>
      </c>
      <c r="K461" s="14">
        <f t="shared" si="38"/>
        <v>2024</v>
      </c>
      <c r="L461" s="14" t="str">
        <f t="shared" si="39"/>
        <v>Completed</v>
      </c>
      <c r="M461" s="18" t="str">
        <f t="shared" si="37"/>
        <v>New</v>
      </c>
    </row>
    <row r="462" spans="1:13" ht="15" thickBot="1" x14ac:dyDescent="0.35">
      <c r="A462" s="17">
        <v>50461</v>
      </c>
      <c r="B462" s="14" t="s">
        <v>43</v>
      </c>
      <c r="C462" s="14" t="s">
        <v>44</v>
      </c>
      <c r="D462" s="14">
        <v>2</v>
      </c>
      <c r="E462" s="15">
        <v>45492.736805555556</v>
      </c>
      <c r="F462" s="16">
        <v>1.2</v>
      </c>
      <c r="G462" s="14">
        <v>12828</v>
      </c>
      <c r="H462" s="14" t="s">
        <v>20</v>
      </c>
      <c r="I462" s="16">
        <f t="shared" si="35"/>
        <v>2.4</v>
      </c>
      <c r="J462" s="14" t="str">
        <f t="shared" si="36"/>
        <v>Jul</v>
      </c>
      <c r="K462" s="14">
        <f t="shared" si="38"/>
        <v>2024</v>
      </c>
      <c r="L462" s="14" t="str">
        <f t="shared" si="39"/>
        <v>Completed</v>
      </c>
      <c r="M462" s="18" t="str">
        <f t="shared" si="37"/>
        <v>Wholesale</v>
      </c>
    </row>
    <row r="463" spans="1:13" ht="15" thickBot="1" x14ac:dyDescent="0.35">
      <c r="A463" s="17">
        <v>50462</v>
      </c>
      <c r="B463" s="14">
        <v>22423</v>
      </c>
      <c r="C463" s="14" t="s">
        <v>36</v>
      </c>
      <c r="D463" s="14">
        <v>4</v>
      </c>
      <c r="E463" s="15">
        <v>45619.73541666667</v>
      </c>
      <c r="F463" s="16">
        <v>11.47</v>
      </c>
      <c r="G463" s="14">
        <v>12763</v>
      </c>
      <c r="H463" s="14" t="s">
        <v>24</v>
      </c>
      <c r="I463" s="16">
        <f t="shared" si="35"/>
        <v>45.88</v>
      </c>
      <c r="J463" s="14" t="str">
        <f t="shared" si="36"/>
        <v>Nov</v>
      </c>
      <c r="K463" s="14">
        <f t="shared" si="38"/>
        <v>2024</v>
      </c>
      <c r="L463" s="14" t="str">
        <f t="shared" si="39"/>
        <v>Completed</v>
      </c>
      <c r="M463" s="18" t="str">
        <f t="shared" si="37"/>
        <v>New</v>
      </c>
    </row>
    <row r="464" spans="1:13" ht="15" thickBot="1" x14ac:dyDescent="0.35">
      <c r="A464" s="17">
        <v>50463</v>
      </c>
      <c r="B464" s="14">
        <v>22423</v>
      </c>
      <c r="C464" s="14" t="s">
        <v>36</v>
      </c>
      <c r="D464" s="14">
        <v>6</v>
      </c>
      <c r="E464" s="15">
        <v>45469.560416666667</v>
      </c>
      <c r="F464" s="16">
        <v>15.14</v>
      </c>
      <c r="G464" s="14">
        <v>12841</v>
      </c>
      <c r="H464" s="14" t="s">
        <v>18</v>
      </c>
      <c r="I464" s="16">
        <f t="shared" si="35"/>
        <v>90.84</v>
      </c>
      <c r="J464" s="14" t="str">
        <f t="shared" si="36"/>
        <v>Jun</v>
      </c>
      <c r="K464" s="14">
        <f t="shared" si="38"/>
        <v>2024</v>
      </c>
      <c r="L464" s="14" t="str">
        <f t="shared" si="39"/>
        <v>Completed</v>
      </c>
      <c r="M464" s="18" t="str">
        <f t="shared" si="37"/>
        <v>New</v>
      </c>
    </row>
    <row r="465" spans="1:13" ht="15" thickBot="1" x14ac:dyDescent="0.35">
      <c r="A465" s="17">
        <v>50464</v>
      </c>
      <c r="B465" s="14">
        <v>20725</v>
      </c>
      <c r="C465" s="14" t="s">
        <v>19</v>
      </c>
      <c r="D465" s="14">
        <v>7</v>
      </c>
      <c r="E465" s="15">
        <v>45297.521527777775</v>
      </c>
      <c r="F465" s="16">
        <v>1.44</v>
      </c>
      <c r="G465" s="14">
        <v>12262</v>
      </c>
      <c r="H465" s="14" t="s">
        <v>24</v>
      </c>
      <c r="I465" s="16">
        <f t="shared" si="35"/>
        <v>10.08</v>
      </c>
      <c r="J465" s="14" t="str">
        <f t="shared" si="36"/>
        <v>Jan</v>
      </c>
      <c r="K465" s="14">
        <f t="shared" si="38"/>
        <v>2024</v>
      </c>
      <c r="L465" s="14" t="str">
        <f t="shared" si="39"/>
        <v>Completed</v>
      </c>
      <c r="M465" s="18" t="str">
        <f t="shared" si="37"/>
        <v>Returning</v>
      </c>
    </row>
    <row r="466" spans="1:13" ht="15" thickBot="1" x14ac:dyDescent="0.35">
      <c r="A466" s="17">
        <v>50465</v>
      </c>
      <c r="B466" s="14" t="s">
        <v>31</v>
      </c>
      <c r="C466" s="14" t="s">
        <v>32</v>
      </c>
      <c r="D466" s="14">
        <v>15</v>
      </c>
      <c r="E466" s="15">
        <v>45316.607638888891</v>
      </c>
      <c r="F466" s="16">
        <v>3.03</v>
      </c>
      <c r="G466" s="14">
        <v>12905</v>
      </c>
      <c r="H466" s="14" t="s">
        <v>26</v>
      </c>
      <c r="I466" s="16">
        <f t="shared" si="35"/>
        <v>45.449999999999996</v>
      </c>
      <c r="J466" s="14" t="str">
        <f t="shared" si="36"/>
        <v>Jan</v>
      </c>
      <c r="K466" s="14">
        <f t="shared" si="38"/>
        <v>2024</v>
      </c>
      <c r="L466" s="14" t="str">
        <f t="shared" si="39"/>
        <v>Completed</v>
      </c>
      <c r="M466" s="18" t="str">
        <f t="shared" si="37"/>
        <v>New</v>
      </c>
    </row>
    <row r="467" spans="1:13" ht="15" thickBot="1" x14ac:dyDescent="0.35">
      <c r="A467" s="17">
        <v>50466</v>
      </c>
      <c r="B467" s="14">
        <v>23203</v>
      </c>
      <c r="C467" s="14" t="s">
        <v>30</v>
      </c>
      <c r="D467" s="14">
        <v>18</v>
      </c>
      <c r="E467" s="15">
        <v>45485.582638888889</v>
      </c>
      <c r="F467" s="16">
        <v>2.37</v>
      </c>
      <c r="G467" s="14">
        <v>12807</v>
      </c>
      <c r="H467" s="14" t="s">
        <v>20</v>
      </c>
      <c r="I467" s="16">
        <f t="shared" si="35"/>
        <v>42.660000000000004</v>
      </c>
      <c r="J467" s="14" t="str">
        <f t="shared" si="36"/>
        <v>Jul</v>
      </c>
      <c r="K467" s="14">
        <f t="shared" si="38"/>
        <v>2024</v>
      </c>
      <c r="L467" s="14" t="str">
        <f t="shared" si="39"/>
        <v>Completed</v>
      </c>
      <c r="M467" s="18" t="str">
        <f t="shared" si="37"/>
        <v>Wholesale</v>
      </c>
    </row>
    <row r="468" spans="1:13" ht="15" thickBot="1" x14ac:dyDescent="0.35">
      <c r="A468" s="17">
        <v>50467</v>
      </c>
      <c r="B468" s="14">
        <v>22423</v>
      </c>
      <c r="C468" s="14" t="s">
        <v>36</v>
      </c>
      <c r="D468" s="14">
        <v>3</v>
      </c>
      <c r="E468" s="15">
        <v>45375.654166666667</v>
      </c>
      <c r="F468" s="16">
        <v>10.99</v>
      </c>
      <c r="G468" s="14">
        <v>12020</v>
      </c>
      <c r="H468" s="14" t="s">
        <v>18</v>
      </c>
      <c r="I468" s="16">
        <f t="shared" si="35"/>
        <v>32.97</v>
      </c>
      <c r="J468" s="14" t="str">
        <f t="shared" si="36"/>
        <v>Mar</v>
      </c>
      <c r="K468" s="14">
        <f t="shared" si="38"/>
        <v>2024</v>
      </c>
      <c r="L468" s="14" t="str">
        <f t="shared" si="39"/>
        <v>Completed</v>
      </c>
      <c r="M468" s="18" t="str">
        <f t="shared" si="37"/>
        <v>Returning</v>
      </c>
    </row>
    <row r="469" spans="1:13" ht="15" thickBot="1" x14ac:dyDescent="0.35">
      <c r="A469" s="17">
        <v>50468</v>
      </c>
      <c r="B469" s="14">
        <v>47566</v>
      </c>
      <c r="C469" s="14" t="s">
        <v>27</v>
      </c>
      <c r="D469" s="14">
        <v>11</v>
      </c>
      <c r="E469" s="15">
        <v>45345.385416666664</v>
      </c>
      <c r="F469" s="16">
        <v>4.8600000000000003</v>
      </c>
      <c r="G469" s="14">
        <v>12749</v>
      </c>
      <c r="H469" s="14" t="s">
        <v>24</v>
      </c>
      <c r="I469" s="16">
        <f t="shared" si="35"/>
        <v>53.46</v>
      </c>
      <c r="J469" s="14" t="str">
        <f t="shared" si="36"/>
        <v>Feb</v>
      </c>
      <c r="K469" s="14">
        <f t="shared" si="38"/>
        <v>2024</v>
      </c>
      <c r="L469" s="14" t="str">
        <f t="shared" si="39"/>
        <v>Completed</v>
      </c>
      <c r="M469" s="18" t="str">
        <f t="shared" si="37"/>
        <v>New</v>
      </c>
    </row>
    <row r="470" spans="1:13" ht="15" thickBot="1" x14ac:dyDescent="0.35">
      <c r="A470" s="17">
        <v>50469</v>
      </c>
      <c r="B470" s="14" t="s">
        <v>15</v>
      </c>
      <c r="C470" s="14" t="s">
        <v>16</v>
      </c>
      <c r="D470" s="14">
        <v>20</v>
      </c>
      <c r="E470" s="15">
        <v>45339.573611111111</v>
      </c>
      <c r="F470" s="16">
        <v>3.43</v>
      </c>
      <c r="G470" s="14">
        <v>12721</v>
      </c>
      <c r="H470" s="14" t="s">
        <v>14</v>
      </c>
      <c r="I470" s="16">
        <f t="shared" si="35"/>
        <v>68.600000000000009</v>
      </c>
      <c r="J470" s="14" t="str">
        <f t="shared" si="36"/>
        <v>Feb</v>
      </c>
      <c r="K470" s="14">
        <f t="shared" si="38"/>
        <v>2024</v>
      </c>
      <c r="L470" s="14" t="str">
        <f t="shared" si="39"/>
        <v>Completed</v>
      </c>
      <c r="M470" s="18" t="str">
        <f t="shared" si="37"/>
        <v>New</v>
      </c>
    </row>
    <row r="471" spans="1:13" ht="15" thickBot="1" x14ac:dyDescent="0.35">
      <c r="A471" s="17">
        <v>50470</v>
      </c>
      <c r="B471" s="14" t="s">
        <v>39</v>
      </c>
      <c r="C471" s="14" t="s">
        <v>40</v>
      </c>
      <c r="D471" s="14">
        <v>20</v>
      </c>
      <c r="E471" s="15">
        <v>45626.45</v>
      </c>
      <c r="F471" s="16">
        <v>1.88</v>
      </c>
      <c r="G471" s="14">
        <v>12103</v>
      </c>
      <c r="H471" s="14" t="s">
        <v>18</v>
      </c>
      <c r="I471" s="16">
        <f t="shared" si="35"/>
        <v>37.599999999999994</v>
      </c>
      <c r="J471" s="14" t="str">
        <f t="shared" si="36"/>
        <v>Nov</v>
      </c>
      <c r="K471" s="14">
        <f t="shared" si="38"/>
        <v>2024</v>
      </c>
      <c r="L471" s="14" t="str">
        <f t="shared" si="39"/>
        <v>Completed</v>
      </c>
      <c r="M471" s="18" t="str">
        <f t="shared" si="37"/>
        <v>New</v>
      </c>
    </row>
    <row r="472" spans="1:13" ht="15" thickBot="1" x14ac:dyDescent="0.35">
      <c r="A472" s="17">
        <v>50471</v>
      </c>
      <c r="B472" s="14">
        <v>22727</v>
      </c>
      <c r="C472" s="14" t="s">
        <v>46</v>
      </c>
      <c r="D472" s="14">
        <v>23</v>
      </c>
      <c r="E472" s="15">
        <v>45389.624305555553</v>
      </c>
      <c r="F472" s="16">
        <v>4.4000000000000004</v>
      </c>
      <c r="G472" s="14">
        <v>12553</v>
      </c>
      <c r="H472" s="14" t="s">
        <v>22</v>
      </c>
      <c r="I472" s="16">
        <f t="shared" si="35"/>
        <v>101.2</v>
      </c>
      <c r="J472" s="14" t="str">
        <f t="shared" si="36"/>
        <v>Apr</v>
      </c>
      <c r="K472" s="14">
        <f t="shared" si="38"/>
        <v>2024</v>
      </c>
      <c r="L472" s="14" t="str">
        <f t="shared" si="39"/>
        <v>Completed</v>
      </c>
      <c r="M472" s="18" t="str">
        <f t="shared" si="37"/>
        <v>New</v>
      </c>
    </row>
    <row r="473" spans="1:13" ht="15" thickBot="1" x14ac:dyDescent="0.35">
      <c r="A473" s="17" t="s">
        <v>80</v>
      </c>
      <c r="B473" s="14">
        <v>22960</v>
      </c>
      <c r="C473" s="14" t="s">
        <v>49</v>
      </c>
      <c r="D473" s="14">
        <v>-4</v>
      </c>
      <c r="E473" s="15">
        <v>45444.502083333333</v>
      </c>
      <c r="F473" s="16">
        <v>3.84</v>
      </c>
      <c r="G473" s="14">
        <v>12369</v>
      </c>
      <c r="H473" s="14" t="s">
        <v>14</v>
      </c>
      <c r="I473" s="16">
        <f t="shared" si="35"/>
        <v>-15.36</v>
      </c>
      <c r="J473" s="14" t="str">
        <f t="shared" si="36"/>
        <v>Jun</v>
      </c>
      <c r="K473" s="14">
        <f t="shared" si="38"/>
        <v>2024</v>
      </c>
      <c r="L473" s="14" t="str">
        <f t="shared" si="39"/>
        <v>Cancelled</v>
      </c>
      <c r="M473" s="18" t="str">
        <f t="shared" si="37"/>
        <v>Wholesale</v>
      </c>
    </row>
    <row r="474" spans="1:13" ht="15" thickBot="1" x14ac:dyDescent="0.35">
      <c r="A474" s="17">
        <v>50473</v>
      </c>
      <c r="B474" s="14" t="s">
        <v>39</v>
      </c>
      <c r="C474" s="14" t="s">
        <v>40</v>
      </c>
      <c r="D474" s="14">
        <v>22</v>
      </c>
      <c r="E474" s="15">
        <v>45336.542361111111</v>
      </c>
      <c r="F474" s="16">
        <v>2.12</v>
      </c>
      <c r="G474" s="14">
        <v>12099</v>
      </c>
      <c r="H474" s="14" t="s">
        <v>14</v>
      </c>
      <c r="I474" s="16">
        <f t="shared" si="35"/>
        <v>46.64</v>
      </c>
      <c r="J474" s="14" t="str">
        <f t="shared" si="36"/>
        <v>Feb</v>
      </c>
      <c r="K474" s="14">
        <f t="shared" si="38"/>
        <v>2024</v>
      </c>
      <c r="L474" s="14" t="str">
        <f t="shared" si="39"/>
        <v>Completed</v>
      </c>
      <c r="M474" s="18" t="str">
        <f t="shared" si="37"/>
        <v>Wholesale</v>
      </c>
    </row>
    <row r="475" spans="1:13" ht="15" thickBot="1" x14ac:dyDescent="0.35">
      <c r="A475" s="17">
        <v>50474</v>
      </c>
      <c r="B475" s="14">
        <v>22727</v>
      </c>
      <c r="C475" s="14" t="s">
        <v>46</v>
      </c>
      <c r="D475" s="14">
        <v>3</v>
      </c>
      <c r="E475" s="15">
        <v>45379.540277777778</v>
      </c>
      <c r="F475" s="16">
        <v>3.34</v>
      </c>
      <c r="G475" s="14">
        <v>12803</v>
      </c>
      <c r="H475" s="14" t="s">
        <v>26</v>
      </c>
      <c r="I475" s="16">
        <f t="shared" si="35"/>
        <v>10.02</v>
      </c>
      <c r="J475" s="14" t="str">
        <f t="shared" si="36"/>
        <v>Mar</v>
      </c>
      <c r="K475" s="14">
        <f t="shared" si="38"/>
        <v>2024</v>
      </c>
      <c r="L475" s="14" t="str">
        <f t="shared" si="39"/>
        <v>Completed</v>
      </c>
      <c r="M475" s="18" t="str">
        <f t="shared" si="37"/>
        <v>New</v>
      </c>
    </row>
    <row r="476" spans="1:13" ht="15" thickBot="1" x14ac:dyDescent="0.35">
      <c r="A476" s="17">
        <v>50475</v>
      </c>
      <c r="B476" s="14">
        <v>23203</v>
      </c>
      <c r="C476" s="14" t="s">
        <v>30</v>
      </c>
      <c r="D476" s="14">
        <v>3</v>
      </c>
      <c r="E476" s="15">
        <v>45542.521527777775</v>
      </c>
      <c r="F476" s="16">
        <v>2.0499999999999998</v>
      </c>
      <c r="G476" s="14">
        <v>12379</v>
      </c>
      <c r="H476" s="14" t="s">
        <v>26</v>
      </c>
      <c r="I476" s="16">
        <f t="shared" si="35"/>
        <v>6.1499999999999995</v>
      </c>
      <c r="J476" s="14" t="str">
        <f t="shared" si="36"/>
        <v>Sep</v>
      </c>
      <c r="K476" s="14">
        <f t="shared" si="38"/>
        <v>2024</v>
      </c>
      <c r="L476" s="14" t="str">
        <f t="shared" si="39"/>
        <v>Completed</v>
      </c>
      <c r="M476" s="18" t="str">
        <f t="shared" si="37"/>
        <v>New</v>
      </c>
    </row>
    <row r="477" spans="1:13" ht="15" thickBot="1" x14ac:dyDescent="0.35">
      <c r="A477" s="17">
        <v>50476</v>
      </c>
      <c r="B477" s="14">
        <v>21212</v>
      </c>
      <c r="C477" s="14" t="s">
        <v>21</v>
      </c>
      <c r="D477" s="14">
        <v>2</v>
      </c>
      <c r="E477" s="15">
        <v>45387.65</v>
      </c>
      <c r="F477" s="16">
        <v>0.56000000000000005</v>
      </c>
      <c r="G477" s="14">
        <v>12231</v>
      </c>
      <c r="H477" s="14" t="s">
        <v>22</v>
      </c>
      <c r="I477" s="16">
        <f t="shared" si="35"/>
        <v>1.1200000000000001</v>
      </c>
      <c r="J477" s="14" t="str">
        <f t="shared" si="36"/>
        <v>Apr</v>
      </c>
      <c r="K477" s="14">
        <f t="shared" si="38"/>
        <v>2024</v>
      </c>
      <c r="L477" s="14" t="str">
        <f t="shared" si="39"/>
        <v>Completed</v>
      </c>
      <c r="M477" s="18" t="str">
        <f t="shared" si="37"/>
        <v>Wholesale</v>
      </c>
    </row>
    <row r="478" spans="1:13" ht="15" thickBot="1" x14ac:dyDescent="0.35">
      <c r="A478" s="17">
        <v>50477</v>
      </c>
      <c r="B478" s="14" t="s">
        <v>43</v>
      </c>
      <c r="C478" s="14" t="s">
        <v>44</v>
      </c>
      <c r="D478" s="14">
        <v>23</v>
      </c>
      <c r="E478" s="15">
        <v>45323.44027777778</v>
      </c>
      <c r="F478" s="16">
        <v>1.1000000000000001</v>
      </c>
      <c r="G478" s="14">
        <v>12352</v>
      </c>
      <c r="H478" s="14" t="s">
        <v>10</v>
      </c>
      <c r="I478" s="16">
        <f t="shared" si="35"/>
        <v>25.3</v>
      </c>
      <c r="J478" s="14" t="str">
        <f t="shared" si="36"/>
        <v>Feb</v>
      </c>
      <c r="K478" s="14">
        <f t="shared" si="38"/>
        <v>2024</v>
      </c>
      <c r="L478" s="14" t="str">
        <f t="shared" si="39"/>
        <v>Completed</v>
      </c>
      <c r="M478" s="18" t="str">
        <f t="shared" si="37"/>
        <v>Returning</v>
      </c>
    </row>
    <row r="479" spans="1:13" ht="15" thickBot="1" x14ac:dyDescent="0.35">
      <c r="A479" s="17">
        <v>50478</v>
      </c>
      <c r="B479" s="14" t="s">
        <v>39</v>
      </c>
      <c r="C479" s="14" t="s">
        <v>40</v>
      </c>
      <c r="D479" s="14">
        <v>18</v>
      </c>
      <c r="E479" s="15">
        <v>45593.494444444441</v>
      </c>
      <c r="F479" s="16">
        <v>2.0499999999999998</v>
      </c>
      <c r="G479" s="14">
        <v>12535</v>
      </c>
      <c r="H479" s="14" t="s">
        <v>26</v>
      </c>
      <c r="I479" s="16">
        <f t="shared" si="35"/>
        <v>36.9</v>
      </c>
      <c r="J479" s="14" t="str">
        <f t="shared" si="36"/>
        <v>Oct</v>
      </c>
      <c r="K479" s="14">
        <f t="shared" si="38"/>
        <v>2024</v>
      </c>
      <c r="L479" s="14" t="str">
        <f t="shared" si="39"/>
        <v>Completed</v>
      </c>
      <c r="M479" s="18" t="str">
        <f t="shared" si="37"/>
        <v>New</v>
      </c>
    </row>
    <row r="480" spans="1:13" ht="15" thickBot="1" x14ac:dyDescent="0.35">
      <c r="A480" s="17">
        <v>50479</v>
      </c>
      <c r="B480" s="14" t="s">
        <v>15</v>
      </c>
      <c r="C480" s="14" t="s">
        <v>16</v>
      </c>
      <c r="D480" s="14">
        <v>19</v>
      </c>
      <c r="E480" s="15">
        <v>45643.67083333333</v>
      </c>
      <c r="F480" s="16">
        <v>3</v>
      </c>
      <c r="G480" s="14">
        <v>12080</v>
      </c>
      <c r="H480" s="14" t="s">
        <v>26</v>
      </c>
      <c r="I480" s="16">
        <f t="shared" si="35"/>
        <v>57</v>
      </c>
      <c r="J480" s="14" t="str">
        <f t="shared" si="36"/>
        <v>Dec</v>
      </c>
      <c r="K480" s="14">
        <f t="shared" si="38"/>
        <v>2024</v>
      </c>
      <c r="L480" s="14" t="str">
        <f t="shared" si="39"/>
        <v>Completed</v>
      </c>
      <c r="M480" s="18" t="str">
        <f t="shared" si="37"/>
        <v>Returning</v>
      </c>
    </row>
    <row r="481" spans="1:13" ht="15" thickBot="1" x14ac:dyDescent="0.35">
      <c r="A481" s="17">
        <v>50480</v>
      </c>
      <c r="B481" s="14">
        <v>71053</v>
      </c>
      <c r="C481" s="14" t="s">
        <v>38</v>
      </c>
      <c r="D481" s="14">
        <v>17</v>
      </c>
      <c r="E481" s="15">
        <v>45549.738888888889</v>
      </c>
      <c r="F481" s="16">
        <v>3.69</v>
      </c>
      <c r="G481" s="14">
        <v>12635</v>
      </c>
      <c r="H481" s="14" t="s">
        <v>23</v>
      </c>
      <c r="I481" s="16">
        <f t="shared" si="35"/>
        <v>62.73</v>
      </c>
      <c r="J481" s="14" t="str">
        <f t="shared" si="36"/>
        <v>Sep</v>
      </c>
      <c r="K481" s="14">
        <f t="shared" si="38"/>
        <v>2024</v>
      </c>
      <c r="L481" s="14" t="str">
        <f t="shared" si="39"/>
        <v>Completed</v>
      </c>
      <c r="M481" s="18" t="str">
        <f t="shared" si="37"/>
        <v>New</v>
      </c>
    </row>
    <row r="482" spans="1:13" ht="15" thickBot="1" x14ac:dyDescent="0.35">
      <c r="A482" s="17">
        <v>50481</v>
      </c>
      <c r="B482" s="14" t="s">
        <v>8</v>
      </c>
      <c r="C482" s="14" t="s">
        <v>9</v>
      </c>
      <c r="D482" s="14">
        <v>6</v>
      </c>
      <c r="E482" s="15">
        <v>45521.456250000003</v>
      </c>
      <c r="F482" s="16">
        <v>3.84</v>
      </c>
      <c r="G482" s="14">
        <v>12129</v>
      </c>
      <c r="H482" s="14" t="s">
        <v>14</v>
      </c>
      <c r="I482" s="16">
        <f t="shared" si="35"/>
        <v>23.04</v>
      </c>
      <c r="J482" s="14" t="str">
        <f t="shared" si="36"/>
        <v>Aug</v>
      </c>
      <c r="K482" s="14">
        <f t="shared" si="38"/>
        <v>2024</v>
      </c>
      <c r="L482" s="14" t="str">
        <f t="shared" si="39"/>
        <v>Completed</v>
      </c>
      <c r="M482" s="18" t="str">
        <f t="shared" si="37"/>
        <v>Wholesale</v>
      </c>
    </row>
    <row r="483" spans="1:13" ht="15" thickBot="1" x14ac:dyDescent="0.35">
      <c r="A483" s="17">
        <v>50482</v>
      </c>
      <c r="B483" s="14" t="s">
        <v>39</v>
      </c>
      <c r="C483" s="14" t="s">
        <v>40</v>
      </c>
      <c r="D483" s="14">
        <v>7</v>
      </c>
      <c r="E483" s="15">
        <v>45332.642361111109</v>
      </c>
      <c r="F483" s="16">
        <v>2.2200000000000002</v>
      </c>
      <c r="G483" s="14">
        <v>12854</v>
      </c>
      <c r="H483" s="14" t="s">
        <v>20</v>
      </c>
      <c r="I483" s="16">
        <f t="shared" si="35"/>
        <v>15.540000000000001</v>
      </c>
      <c r="J483" s="14" t="str">
        <f t="shared" si="36"/>
        <v>Feb</v>
      </c>
      <c r="K483" s="14">
        <f t="shared" si="38"/>
        <v>2024</v>
      </c>
      <c r="L483" s="14" t="str">
        <f t="shared" si="39"/>
        <v>Completed</v>
      </c>
      <c r="M483" s="18" t="str">
        <f t="shared" si="37"/>
        <v>Returning</v>
      </c>
    </row>
    <row r="484" spans="1:13" ht="15" thickBot="1" x14ac:dyDescent="0.35">
      <c r="A484" s="17">
        <v>50483</v>
      </c>
      <c r="B484" s="14">
        <v>47566</v>
      </c>
      <c r="C484" s="14" t="s">
        <v>27</v>
      </c>
      <c r="D484" s="14">
        <v>3</v>
      </c>
      <c r="E484" s="15">
        <v>45455.380555555559</v>
      </c>
      <c r="F484" s="16">
        <v>4.9000000000000004</v>
      </c>
      <c r="G484" s="14">
        <v>12333</v>
      </c>
      <c r="H484" s="14" t="s">
        <v>22</v>
      </c>
      <c r="I484" s="16">
        <f t="shared" si="35"/>
        <v>14.700000000000001</v>
      </c>
      <c r="J484" s="14" t="str">
        <f t="shared" si="36"/>
        <v>Jun</v>
      </c>
      <c r="K484" s="14">
        <f t="shared" si="38"/>
        <v>2024</v>
      </c>
      <c r="L484" s="14" t="str">
        <f t="shared" si="39"/>
        <v>Completed</v>
      </c>
      <c r="M484" s="18" t="str">
        <f t="shared" si="37"/>
        <v>Wholesale</v>
      </c>
    </row>
    <row r="485" spans="1:13" ht="15" thickBot="1" x14ac:dyDescent="0.35">
      <c r="A485" s="17">
        <v>50484</v>
      </c>
      <c r="B485" s="14" t="s">
        <v>33</v>
      </c>
      <c r="C485" s="14" t="s">
        <v>34</v>
      </c>
      <c r="D485" s="14">
        <v>23</v>
      </c>
      <c r="E485" s="15">
        <v>45526.341666666667</v>
      </c>
      <c r="F485" s="16">
        <v>18.59</v>
      </c>
      <c r="G485" s="14">
        <v>12429</v>
      </c>
      <c r="H485" s="14" t="s">
        <v>24</v>
      </c>
      <c r="I485" s="16">
        <f t="shared" si="35"/>
        <v>427.57</v>
      </c>
      <c r="J485" s="14" t="str">
        <f t="shared" si="36"/>
        <v>Aug</v>
      </c>
      <c r="K485" s="14">
        <f t="shared" si="38"/>
        <v>2024</v>
      </c>
      <c r="L485" s="14" t="str">
        <f t="shared" si="39"/>
        <v>Completed</v>
      </c>
      <c r="M485" s="18" t="str">
        <f t="shared" si="37"/>
        <v>Wholesale</v>
      </c>
    </row>
    <row r="486" spans="1:13" ht="15" thickBot="1" x14ac:dyDescent="0.35">
      <c r="A486" s="17">
        <v>50485</v>
      </c>
      <c r="B486" s="14" t="s">
        <v>39</v>
      </c>
      <c r="C486" s="14" t="s">
        <v>40</v>
      </c>
      <c r="D486" s="14">
        <v>19</v>
      </c>
      <c r="E486" s="15">
        <v>45368.438194444447</v>
      </c>
      <c r="F486" s="16">
        <v>2.3199999999999998</v>
      </c>
      <c r="G486" s="14">
        <v>12962</v>
      </c>
      <c r="H486" s="14" t="s">
        <v>24</v>
      </c>
      <c r="I486" s="16">
        <f t="shared" si="35"/>
        <v>44.08</v>
      </c>
      <c r="J486" s="14" t="str">
        <f t="shared" si="36"/>
        <v>Mar</v>
      </c>
      <c r="K486" s="14">
        <f t="shared" si="38"/>
        <v>2024</v>
      </c>
      <c r="L486" s="14" t="str">
        <f t="shared" si="39"/>
        <v>Completed</v>
      </c>
      <c r="M486" s="18" t="str">
        <f t="shared" si="37"/>
        <v>Returning</v>
      </c>
    </row>
    <row r="487" spans="1:13" ht="15" thickBot="1" x14ac:dyDescent="0.35">
      <c r="A487" s="17">
        <v>50486</v>
      </c>
      <c r="B487" s="14" t="s">
        <v>8</v>
      </c>
      <c r="C487" s="14" t="s">
        <v>9</v>
      </c>
      <c r="D487" s="14">
        <v>10</v>
      </c>
      <c r="E487" s="15">
        <v>45580.404861111114</v>
      </c>
      <c r="F487" s="16">
        <v>3.93</v>
      </c>
      <c r="G487" s="14">
        <v>12898</v>
      </c>
      <c r="H487" s="14" t="s">
        <v>26</v>
      </c>
      <c r="I487" s="16">
        <f t="shared" si="35"/>
        <v>39.300000000000004</v>
      </c>
      <c r="J487" s="14" t="str">
        <f t="shared" si="36"/>
        <v>Oct</v>
      </c>
      <c r="K487" s="14">
        <f t="shared" si="38"/>
        <v>2024</v>
      </c>
      <c r="L487" s="14" t="str">
        <f t="shared" si="39"/>
        <v>Completed</v>
      </c>
      <c r="M487" s="18" t="str">
        <f t="shared" si="37"/>
        <v>Returning</v>
      </c>
    </row>
    <row r="488" spans="1:13" ht="15" thickBot="1" x14ac:dyDescent="0.35">
      <c r="A488" s="17">
        <v>50487</v>
      </c>
      <c r="B488" s="14">
        <v>47566</v>
      </c>
      <c r="C488" s="14" t="s">
        <v>27</v>
      </c>
      <c r="D488" s="14">
        <v>19</v>
      </c>
      <c r="E488" s="15">
        <v>45488.678472222222</v>
      </c>
      <c r="F488" s="16">
        <v>4.2699999999999996</v>
      </c>
      <c r="G488" s="14">
        <v>12282</v>
      </c>
      <c r="H488" s="14" t="s">
        <v>26</v>
      </c>
      <c r="I488" s="16">
        <f t="shared" si="35"/>
        <v>81.13</v>
      </c>
      <c r="J488" s="14" t="str">
        <f t="shared" si="36"/>
        <v>Jul</v>
      </c>
      <c r="K488" s="14">
        <f t="shared" si="38"/>
        <v>2024</v>
      </c>
      <c r="L488" s="14" t="str">
        <f t="shared" si="39"/>
        <v>Completed</v>
      </c>
      <c r="M488" s="18" t="str">
        <f t="shared" si="37"/>
        <v>Wholesale</v>
      </c>
    </row>
    <row r="489" spans="1:13" ht="15" thickBot="1" x14ac:dyDescent="0.35">
      <c r="A489" s="17">
        <v>50488</v>
      </c>
      <c r="B489" s="14">
        <v>84879</v>
      </c>
      <c r="C489" s="14" t="s">
        <v>45</v>
      </c>
      <c r="D489" s="14">
        <v>2</v>
      </c>
      <c r="E489" s="15">
        <v>45608.618750000001</v>
      </c>
      <c r="F489" s="16">
        <v>1.96</v>
      </c>
      <c r="G489" s="14">
        <v>12707</v>
      </c>
      <c r="H489" s="14" t="s">
        <v>37</v>
      </c>
      <c r="I489" s="16">
        <f t="shared" si="35"/>
        <v>3.92</v>
      </c>
      <c r="J489" s="14" t="str">
        <f t="shared" si="36"/>
        <v>Nov</v>
      </c>
      <c r="K489" s="14">
        <f t="shared" si="38"/>
        <v>2024</v>
      </c>
      <c r="L489" s="14" t="str">
        <f t="shared" si="39"/>
        <v>Completed</v>
      </c>
      <c r="M489" s="18" t="str">
        <f t="shared" si="37"/>
        <v>New</v>
      </c>
    </row>
    <row r="490" spans="1:13" ht="15" thickBot="1" x14ac:dyDescent="0.35">
      <c r="A490" s="17" t="s">
        <v>81</v>
      </c>
      <c r="B490" s="14">
        <v>71053</v>
      </c>
      <c r="C490" s="14" t="s">
        <v>38</v>
      </c>
      <c r="D490" s="14">
        <v>-5</v>
      </c>
      <c r="E490" s="15">
        <v>45535.524305555555</v>
      </c>
      <c r="F490" s="16">
        <v>3.25</v>
      </c>
      <c r="G490" s="14">
        <v>12863</v>
      </c>
      <c r="H490" s="14" t="s">
        <v>28</v>
      </c>
      <c r="I490" s="16">
        <f t="shared" si="35"/>
        <v>-16.25</v>
      </c>
      <c r="J490" s="14" t="str">
        <f t="shared" si="36"/>
        <v>Aug</v>
      </c>
      <c r="K490" s="14">
        <f t="shared" si="38"/>
        <v>2024</v>
      </c>
      <c r="L490" s="14" t="str">
        <f t="shared" si="39"/>
        <v>Cancelled</v>
      </c>
      <c r="M490" s="18" t="str">
        <f t="shared" si="37"/>
        <v>New</v>
      </c>
    </row>
    <row r="491" spans="1:13" ht="15" thickBot="1" x14ac:dyDescent="0.35">
      <c r="A491" s="17">
        <v>50490</v>
      </c>
      <c r="B491" s="14" t="s">
        <v>8</v>
      </c>
      <c r="C491" s="14" t="s">
        <v>9</v>
      </c>
      <c r="D491" s="14">
        <v>10</v>
      </c>
      <c r="E491" s="15">
        <v>45408.428472222222</v>
      </c>
      <c r="F491" s="16">
        <v>3.41</v>
      </c>
      <c r="G491" s="14">
        <v>12845</v>
      </c>
      <c r="H491" s="14" t="s">
        <v>18</v>
      </c>
      <c r="I491" s="16">
        <f t="shared" si="35"/>
        <v>34.1</v>
      </c>
      <c r="J491" s="14" t="str">
        <f t="shared" si="36"/>
        <v>Apr</v>
      </c>
      <c r="K491" s="14">
        <f t="shared" si="38"/>
        <v>2024</v>
      </c>
      <c r="L491" s="14" t="str">
        <f t="shared" si="39"/>
        <v>Completed</v>
      </c>
      <c r="M491" s="18" t="str">
        <f t="shared" si="37"/>
        <v>New</v>
      </c>
    </row>
    <row r="492" spans="1:13" ht="15" thickBot="1" x14ac:dyDescent="0.35">
      <c r="A492" s="17">
        <v>50491</v>
      </c>
      <c r="B492" s="14">
        <v>47566</v>
      </c>
      <c r="C492" s="14" t="s">
        <v>27</v>
      </c>
      <c r="D492" s="14">
        <v>7</v>
      </c>
      <c r="E492" s="15">
        <v>45505.396527777775</v>
      </c>
      <c r="F492" s="16">
        <v>5.79</v>
      </c>
      <c r="G492" s="14">
        <v>12416</v>
      </c>
      <c r="H492" s="14" t="s">
        <v>28</v>
      </c>
      <c r="I492" s="16">
        <f t="shared" si="35"/>
        <v>40.53</v>
      </c>
      <c r="J492" s="14" t="str">
        <f t="shared" si="36"/>
        <v>Aug</v>
      </c>
      <c r="K492" s="14">
        <f t="shared" si="38"/>
        <v>2024</v>
      </c>
      <c r="L492" s="14" t="str">
        <f t="shared" si="39"/>
        <v>Completed</v>
      </c>
      <c r="M492" s="18" t="str">
        <f t="shared" si="37"/>
        <v>Returning</v>
      </c>
    </row>
    <row r="493" spans="1:13" ht="15" thickBot="1" x14ac:dyDescent="0.35">
      <c r="A493" s="17">
        <v>50492</v>
      </c>
      <c r="B493" s="14" t="s">
        <v>33</v>
      </c>
      <c r="C493" s="14" t="s">
        <v>34</v>
      </c>
      <c r="D493" s="14">
        <v>17</v>
      </c>
      <c r="E493" s="15">
        <v>45483.372916666667</v>
      </c>
      <c r="F493" s="16">
        <v>15.71</v>
      </c>
      <c r="G493" s="14">
        <v>12726</v>
      </c>
      <c r="H493" s="14" t="s">
        <v>10</v>
      </c>
      <c r="I493" s="16">
        <f t="shared" si="35"/>
        <v>267.07</v>
      </c>
      <c r="J493" s="14" t="str">
        <f t="shared" si="36"/>
        <v>Jul</v>
      </c>
      <c r="K493" s="14">
        <f t="shared" si="38"/>
        <v>2024</v>
      </c>
      <c r="L493" s="14" t="str">
        <f t="shared" si="39"/>
        <v>Completed</v>
      </c>
      <c r="M493" s="18" t="str">
        <f t="shared" si="37"/>
        <v>Wholesale</v>
      </c>
    </row>
    <row r="494" spans="1:13" ht="15" thickBot="1" x14ac:dyDescent="0.35">
      <c r="A494" s="17" t="s">
        <v>82</v>
      </c>
      <c r="B494" s="14">
        <v>22386</v>
      </c>
      <c r="C494" s="14" t="s">
        <v>29</v>
      </c>
      <c r="D494" s="14">
        <v>-4</v>
      </c>
      <c r="E494" s="15">
        <v>45361.705555555556</v>
      </c>
      <c r="F494" s="16">
        <v>2.25</v>
      </c>
      <c r="G494" s="14">
        <v>12205</v>
      </c>
      <c r="H494" s="14" t="s">
        <v>14</v>
      </c>
      <c r="I494" s="16">
        <f t="shared" si="35"/>
        <v>-9</v>
      </c>
      <c r="J494" s="14" t="str">
        <f t="shared" si="36"/>
        <v>Mar</v>
      </c>
      <c r="K494" s="14">
        <f t="shared" si="38"/>
        <v>2024</v>
      </c>
      <c r="L494" s="14" t="str">
        <f t="shared" si="39"/>
        <v>Cancelled</v>
      </c>
      <c r="M494" s="18" t="str">
        <f t="shared" si="37"/>
        <v>New</v>
      </c>
    </row>
    <row r="495" spans="1:13" ht="15" thickBot="1" x14ac:dyDescent="0.35">
      <c r="A495" s="17">
        <v>50494</v>
      </c>
      <c r="B495" s="14">
        <v>22423</v>
      </c>
      <c r="C495" s="14" t="s">
        <v>36</v>
      </c>
      <c r="D495" s="14">
        <v>2</v>
      </c>
      <c r="E495" s="15">
        <v>45308.657638888886</v>
      </c>
      <c r="F495" s="16">
        <v>13.98</v>
      </c>
      <c r="G495" s="14">
        <v>12280</v>
      </c>
      <c r="H495" s="14" t="s">
        <v>18</v>
      </c>
      <c r="I495" s="16">
        <f t="shared" si="35"/>
        <v>27.96</v>
      </c>
      <c r="J495" s="14" t="str">
        <f t="shared" si="36"/>
        <v>Jan</v>
      </c>
      <c r="K495" s="14">
        <f t="shared" si="38"/>
        <v>2024</v>
      </c>
      <c r="L495" s="14" t="str">
        <f t="shared" si="39"/>
        <v>Completed</v>
      </c>
      <c r="M495" s="18" t="str">
        <f t="shared" si="37"/>
        <v>Returning</v>
      </c>
    </row>
    <row r="496" spans="1:13" ht="15" thickBot="1" x14ac:dyDescent="0.35">
      <c r="A496" s="17">
        <v>50495</v>
      </c>
      <c r="B496" s="14">
        <v>20725</v>
      </c>
      <c r="C496" s="14" t="s">
        <v>19</v>
      </c>
      <c r="D496" s="14">
        <v>21</v>
      </c>
      <c r="E496" s="15">
        <v>45550.615277777775</v>
      </c>
      <c r="F496" s="16">
        <v>1.8</v>
      </c>
      <c r="G496" s="14">
        <v>12247</v>
      </c>
      <c r="H496" s="14" t="s">
        <v>18</v>
      </c>
      <c r="I496" s="16">
        <f t="shared" si="35"/>
        <v>37.800000000000004</v>
      </c>
      <c r="J496" s="14" t="str">
        <f t="shared" si="36"/>
        <v>Sep</v>
      </c>
      <c r="K496" s="14">
        <f t="shared" si="38"/>
        <v>2024</v>
      </c>
      <c r="L496" s="14" t="str">
        <f t="shared" si="39"/>
        <v>Completed</v>
      </c>
      <c r="M496" s="18" t="str">
        <f t="shared" si="37"/>
        <v>New</v>
      </c>
    </row>
    <row r="497" spans="1:13" ht="15" thickBot="1" x14ac:dyDescent="0.35">
      <c r="A497" s="17">
        <v>50496</v>
      </c>
      <c r="B497" s="14">
        <v>23203</v>
      </c>
      <c r="C497" s="14" t="s">
        <v>30</v>
      </c>
      <c r="D497" s="14">
        <v>6</v>
      </c>
      <c r="E497" s="15">
        <v>45596.65</v>
      </c>
      <c r="F497" s="16">
        <v>2.11</v>
      </c>
      <c r="G497" s="14">
        <v>12564</v>
      </c>
      <c r="H497" s="14" t="s">
        <v>18</v>
      </c>
      <c r="I497" s="16">
        <f t="shared" si="35"/>
        <v>12.66</v>
      </c>
      <c r="J497" s="14" t="str">
        <f t="shared" si="36"/>
        <v>Oct</v>
      </c>
      <c r="K497" s="14">
        <f t="shared" si="38"/>
        <v>2024</v>
      </c>
      <c r="L497" s="14" t="str">
        <f t="shared" si="39"/>
        <v>Completed</v>
      </c>
      <c r="M497" s="18" t="str">
        <f t="shared" si="37"/>
        <v>Wholesale</v>
      </c>
    </row>
    <row r="498" spans="1:13" ht="15" thickBot="1" x14ac:dyDescent="0.35">
      <c r="A498" s="17">
        <v>50497</v>
      </c>
      <c r="B498" s="14">
        <v>21212</v>
      </c>
      <c r="C498" s="14" t="s">
        <v>21</v>
      </c>
      <c r="D498" s="14">
        <v>24</v>
      </c>
      <c r="E498" s="15">
        <v>45375.51666666667</v>
      </c>
      <c r="F498" s="16">
        <v>0.48</v>
      </c>
      <c r="G498" s="14">
        <v>12028</v>
      </c>
      <c r="H498" s="14" t="s">
        <v>26</v>
      </c>
      <c r="I498" s="16">
        <f t="shared" si="35"/>
        <v>11.52</v>
      </c>
      <c r="J498" s="14" t="str">
        <f t="shared" si="36"/>
        <v>Mar</v>
      </c>
      <c r="K498" s="14">
        <f t="shared" si="38"/>
        <v>2024</v>
      </c>
      <c r="L498" s="14" t="str">
        <f t="shared" si="39"/>
        <v>Completed</v>
      </c>
      <c r="M498" s="18" t="str">
        <f t="shared" si="37"/>
        <v>Returning</v>
      </c>
    </row>
    <row r="499" spans="1:13" ht="15" thickBot="1" x14ac:dyDescent="0.35">
      <c r="A499" s="17">
        <v>50498</v>
      </c>
      <c r="B499" s="14">
        <v>71053</v>
      </c>
      <c r="C499" s="14" t="s">
        <v>38</v>
      </c>
      <c r="D499" s="14">
        <v>7</v>
      </c>
      <c r="E499" s="15">
        <v>45375.739583333336</v>
      </c>
      <c r="F499" s="16">
        <v>3.65</v>
      </c>
      <c r="G499" s="14">
        <v>12693</v>
      </c>
      <c r="H499" s="14" t="s">
        <v>37</v>
      </c>
      <c r="I499" s="16">
        <f t="shared" si="35"/>
        <v>25.55</v>
      </c>
      <c r="J499" s="14" t="str">
        <f t="shared" si="36"/>
        <v>Mar</v>
      </c>
      <c r="K499" s="14">
        <f t="shared" si="38"/>
        <v>2024</v>
      </c>
      <c r="L499" s="14" t="str">
        <f t="shared" si="39"/>
        <v>Completed</v>
      </c>
      <c r="M499" s="18" t="str">
        <f t="shared" si="37"/>
        <v>Wholesale</v>
      </c>
    </row>
    <row r="500" spans="1:13" ht="15" thickBot="1" x14ac:dyDescent="0.35">
      <c r="A500" s="17" t="s">
        <v>83</v>
      </c>
      <c r="B500" s="14">
        <v>47566</v>
      </c>
      <c r="C500" s="14" t="s">
        <v>27</v>
      </c>
      <c r="D500" s="14">
        <v>-1</v>
      </c>
      <c r="E500" s="15">
        <v>45625.624305555553</v>
      </c>
      <c r="F500" s="16">
        <v>5.03</v>
      </c>
      <c r="G500" s="14">
        <v>12135</v>
      </c>
      <c r="H500" s="14" t="s">
        <v>23</v>
      </c>
      <c r="I500" s="16">
        <f t="shared" si="35"/>
        <v>-5.03</v>
      </c>
      <c r="J500" s="14" t="str">
        <f t="shared" si="36"/>
        <v>Nov</v>
      </c>
      <c r="K500" s="14">
        <f t="shared" si="38"/>
        <v>2024</v>
      </c>
      <c r="L500" s="14" t="str">
        <f t="shared" si="39"/>
        <v>Cancelled</v>
      </c>
      <c r="M500" s="18" t="str">
        <f t="shared" si="37"/>
        <v>Wholesale</v>
      </c>
    </row>
    <row r="501" spans="1:13" ht="15" thickBot="1" x14ac:dyDescent="0.35">
      <c r="A501" s="19">
        <v>50500</v>
      </c>
      <c r="B501" s="20">
        <v>84991</v>
      </c>
      <c r="C501" s="20" t="s">
        <v>25</v>
      </c>
      <c r="D501" s="20">
        <v>9</v>
      </c>
      <c r="E501" s="21">
        <v>45296.492361111108</v>
      </c>
      <c r="F501" s="22">
        <v>0.65</v>
      </c>
      <c r="G501" s="20">
        <v>12729</v>
      </c>
      <c r="H501" s="20" t="s">
        <v>22</v>
      </c>
      <c r="I501" s="16">
        <f t="shared" si="35"/>
        <v>5.8500000000000005</v>
      </c>
      <c r="J501" s="14" t="str">
        <f t="shared" si="36"/>
        <v>Jan</v>
      </c>
      <c r="K501" s="14">
        <f t="shared" si="38"/>
        <v>2024</v>
      </c>
      <c r="L501" s="14" t="str">
        <f t="shared" si="39"/>
        <v>Completed</v>
      </c>
      <c r="M501" s="18" t="str">
        <f t="shared" si="37"/>
        <v>Wholesale</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B2F84-EDC8-436B-960B-1145D283B599}">
  <dimension ref="A1:L22"/>
  <sheetViews>
    <sheetView workbookViewId="0">
      <selection activeCell="D30" sqref="D30"/>
    </sheetView>
  </sheetViews>
  <sheetFormatPr defaultRowHeight="14.4" x14ac:dyDescent="0.3"/>
  <cols>
    <col min="1" max="1" width="13.5546875" bestFit="1" customWidth="1"/>
    <col min="2" max="2" width="27.77734375" customWidth="1"/>
    <col min="3" max="3" width="13" customWidth="1"/>
    <col min="4" max="4" width="13.77734375" customWidth="1"/>
    <col min="5" max="5" width="25" customWidth="1"/>
    <col min="7" max="7" width="11" customWidth="1"/>
    <col min="8" max="8" width="11.44140625" customWidth="1"/>
    <col min="9" max="9" width="7.21875" customWidth="1"/>
    <col min="10" max="10" width="11.109375" customWidth="1"/>
  </cols>
  <sheetData>
    <row r="1" spans="1:12" ht="42" customHeight="1" x14ac:dyDescent="0.3">
      <c r="A1" s="40" t="s">
        <v>112</v>
      </c>
      <c r="B1" s="44"/>
      <c r="C1" s="44"/>
      <c r="D1" s="44"/>
      <c r="E1" s="44"/>
      <c r="F1" s="44"/>
      <c r="G1" s="44"/>
      <c r="H1" s="44"/>
      <c r="I1" s="44"/>
      <c r="J1" s="44"/>
      <c r="K1" s="44"/>
      <c r="L1" s="44"/>
    </row>
    <row r="2" spans="1:12" ht="19.2" customHeight="1" x14ac:dyDescent="0.3"/>
    <row r="3" spans="1:12" ht="20.399999999999999" customHeight="1" x14ac:dyDescent="0.3">
      <c r="A3" s="41" t="s">
        <v>109</v>
      </c>
      <c r="B3" s="41"/>
      <c r="C3" s="41"/>
      <c r="G3" s="42" t="s">
        <v>110</v>
      </c>
      <c r="H3" s="43"/>
      <c r="I3" s="43"/>
    </row>
    <row r="4" spans="1:12" x14ac:dyDescent="0.3">
      <c r="A4" s="23" t="s">
        <v>7</v>
      </c>
      <c r="B4" s="23" t="s">
        <v>106</v>
      </c>
      <c r="C4" s="23" t="s">
        <v>107</v>
      </c>
      <c r="D4" s="23" t="s">
        <v>84</v>
      </c>
      <c r="E4" s="23" t="s">
        <v>108</v>
      </c>
      <c r="G4" s="23" t="s">
        <v>85</v>
      </c>
      <c r="H4" s="23" t="s">
        <v>84</v>
      </c>
      <c r="I4" s="23" t="s">
        <v>107</v>
      </c>
      <c r="J4" s="23" t="s">
        <v>106</v>
      </c>
    </row>
    <row r="5" spans="1:12" x14ac:dyDescent="0.3">
      <c r="A5" s="24" t="s">
        <v>14</v>
      </c>
      <c r="B5" s="24">
        <f>COUNTIFS(Clean_Data!$H:$H,A5,Clean_Data!$L:$L,"Completed")</f>
        <v>34</v>
      </c>
      <c r="C5" s="24">
        <f>SUMIFS(Clean_Data!$D:$D,Clean_Data!$H:$H,A5,Clean_Data!$L:$L,"Completed")</f>
        <v>379</v>
      </c>
      <c r="D5" s="25">
        <f>SUMIFS(Clean_Data!$I:$I,Clean_Data!$H:$H,A5,Clean_Data!$L:$L,"Completed")</f>
        <v>1695.5399999999997</v>
      </c>
      <c r="E5" s="25">
        <f>IFERROR(D5/B5,0)</f>
        <v>49.868823529411756</v>
      </c>
      <c r="G5" s="24" t="s">
        <v>89</v>
      </c>
      <c r="H5" s="25">
        <f>SUMIFS(Clean_Data!$I:$I,Clean_Data!$J:$J,G5,Clean_Data!$L:$L,"Completed")</f>
        <v>1965.1900000000005</v>
      </c>
      <c r="I5" s="24">
        <f>SUMIFS(Clean_Data!$D:$D,Clean_Data!$J:$J,G5,Clean_Data!$L:$L,"Completed")</f>
        <v>475</v>
      </c>
      <c r="J5" s="24">
        <f>COUNTIFS(Clean_Data!$J:$J,G5,Clean_Data!$L:$L,"Completed")</f>
        <v>39</v>
      </c>
    </row>
    <row r="6" spans="1:12" x14ac:dyDescent="0.3">
      <c r="A6" s="24" t="s">
        <v>24</v>
      </c>
      <c r="B6" s="24">
        <f>COUNTIFS(Clean_Data!$H:$H,A6,Clean_Data!$L:$L,"Completed")</f>
        <v>49</v>
      </c>
      <c r="C6" s="24">
        <f>SUMIFS(Clean_Data!$D:$D,Clean_Data!$H:$H,A6,Clean_Data!$L:$L,"Completed")</f>
        <v>613</v>
      </c>
      <c r="D6" s="25">
        <f>SUMIFS(Clean_Data!$I:$I,Clean_Data!$H:$H,A6,Clean_Data!$L:$L,"Completed")</f>
        <v>2467.3800000000006</v>
      </c>
      <c r="E6" s="25">
        <f t="shared" ref="E6:E14" si="0">IFERROR(D6/B6,0)</f>
        <v>50.354693877551028</v>
      </c>
      <c r="G6" s="24" t="s">
        <v>97</v>
      </c>
      <c r="H6" s="25">
        <f>SUMIFS(Clean_Data!$I:$I,Clean_Data!$J:$J,G6,Clean_Data!$L:$L,"Completed")</f>
        <v>1718.9599999999996</v>
      </c>
      <c r="I6" s="24">
        <f>SUMIFS(Clean_Data!$D:$D,Clean_Data!$J:$J,G6,Clean_Data!$L:$L,"Completed")</f>
        <v>445</v>
      </c>
      <c r="J6" s="24">
        <f>COUNTIFS(Clean_Data!$J:$J,G6,Clean_Data!$L:$L,"Completed")</f>
        <v>39</v>
      </c>
    </row>
    <row r="7" spans="1:12" x14ac:dyDescent="0.3">
      <c r="A7" s="24" t="s">
        <v>23</v>
      </c>
      <c r="B7" s="24">
        <f>COUNTIFS(Clean_Data!$H:$H,A7,Clean_Data!$L:$L,"Completed")</f>
        <v>49</v>
      </c>
      <c r="C7" s="24">
        <f>SUMIFS(Clean_Data!$D:$D,Clean_Data!$H:$H,A7,Clean_Data!$L:$L,"Completed")</f>
        <v>593</v>
      </c>
      <c r="D7" s="25">
        <f>SUMIFS(Clean_Data!$I:$I,Clean_Data!$H:$H,A7,Clean_Data!$L:$L,"Completed")</f>
        <v>2071.5600000000004</v>
      </c>
      <c r="E7" s="25">
        <f t="shared" si="0"/>
        <v>42.276734693877557</v>
      </c>
      <c r="G7" s="24" t="s">
        <v>102</v>
      </c>
      <c r="H7" s="25">
        <f>SUMIFS(Clean_Data!$I:$I,Clean_Data!$J:$J,G7,Clean_Data!$L:$L,"Completed")</f>
        <v>1313.3500000000001</v>
      </c>
      <c r="I7" s="24">
        <f>SUMIFS(Clean_Data!$D:$D,Clean_Data!$J:$J,G7,Clean_Data!$L:$L,"Completed")</f>
        <v>458</v>
      </c>
      <c r="J7" s="24">
        <f>COUNTIFS(Clean_Data!$J:$J,G7,Clean_Data!$L:$L,"Completed")</f>
        <v>39</v>
      </c>
    </row>
    <row r="8" spans="1:12" x14ac:dyDescent="0.3">
      <c r="A8" s="24" t="s">
        <v>37</v>
      </c>
      <c r="B8" s="24">
        <f>COUNTIFS(Clean_Data!$H:$H,A8,Clean_Data!$L:$L,"Completed")</f>
        <v>42</v>
      </c>
      <c r="C8" s="24">
        <f>SUMIFS(Clean_Data!$D:$D,Clean_Data!$H:$H,A8,Clean_Data!$L:$L,"Completed")</f>
        <v>532</v>
      </c>
      <c r="D8" s="25">
        <f>SUMIFS(Clean_Data!$I:$I,Clean_Data!$H:$H,A8,Clean_Data!$L:$L,"Completed")</f>
        <v>1997.95</v>
      </c>
      <c r="E8" s="25">
        <f t="shared" si="0"/>
        <v>47.570238095238096</v>
      </c>
      <c r="G8" s="24" t="s">
        <v>93</v>
      </c>
      <c r="H8" s="25">
        <f>SUMIFS(Clean_Data!$I:$I,Clean_Data!$J:$J,G8,Clean_Data!$L:$L,"Completed")</f>
        <v>1051.24</v>
      </c>
      <c r="I8" s="24">
        <f>SUMIFS(Clean_Data!$D:$D,Clean_Data!$J:$J,G8,Clean_Data!$L:$L,"Completed")</f>
        <v>363</v>
      </c>
      <c r="J8" s="24">
        <f>COUNTIFS(Clean_Data!$J:$J,G8,Clean_Data!$L:$L,"Completed")</f>
        <v>32</v>
      </c>
    </row>
    <row r="9" spans="1:12" x14ac:dyDescent="0.3">
      <c r="A9" s="24" t="s">
        <v>22</v>
      </c>
      <c r="B9" s="24">
        <f>COUNTIFS(Clean_Data!$H:$H,A9,Clean_Data!$L:$L,"Completed")</f>
        <v>43</v>
      </c>
      <c r="C9" s="24">
        <f>SUMIFS(Clean_Data!$D:$D,Clean_Data!$H:$H,A9,Clean_Data!$L:$L,"Completed")</f>
        <v>518</v>
      </c>
      <c r="D9" s="25">
        <f>SUMIFS(Clean_Data!$I:$I,Clean_Data!$H:$H,A9,Clean_Data!$L:$L,"Completed")</f>
        <v>1398.13</v>
      </c>
      <c r="E9" s="25">
        <f t="shared" si="0"/>
        <v>32.514651162790699</v>
      </c>
      <c r="G9" s="24" t="s">
        <v>100</v>
      </c>
      <c r="H9" s="25">
        <f>SUMIFS(Clean_Data!$I:$I,Clean_Data!$J:$J,G9,Clean_Data!$L:$L,"Completed")</f>
        <v>1510.5299999999997</v>
      </c>
      <c r="I9" s="24">
        <f>SUMIFS(Clean_Data!$D:$D,Clean_Data!$J:$J,G9,Clean_Data!$L:$L,"Completed")</f>
        <v>432</v>
      </c>
      <c r="J9" s="24">
        <f>COUNTIFS(Clean_Data!$J:$J,G9,Clean_Data!$L:$L,"Completed")</f>
        <v>35</v>
      </c>
    </row>
    <row r="10" spans="1:12" x14ac:dyDescent="0.3">
      <c r="A10" s="24" t="s">
        <v>18</v>
      </c>
      <c r="B10" s="24">
        <f>COUNTIFS(Clean_Data!$H:$H,A10,Clean_Data!$L:$L,"Completed")</f>
        <v>57</v>
      </c>
      <c r="C10" s="24">
        <f>SUMIFS(Clean_Data!$D:$D,Clean_Data!$H:$H,A10,Clean_Data!$L:$L,"Completed")</f>
        <v>729</v>
      </c>
      <c r="D10" s="25">
        <f>SUMIFS(Clean_Data!$I:$I,Clean_Data!$H:$H,A10,Clean_Data!$L:$L,"Completed")</f>
        <v>3449.53</v>
      </c>
      <c r="E10" s="25">
        <f t="shared" si="0"/>
        <v>60.518070175438602</v>
      </c>
      <c r="G10" s="24" t="s">
        <v>98</v>
      </c>
      <c r="H10" s="25">
        <f>SUMIFS(Clean_Data!$I:$I,Clean_Data!$J:$J,G10,Clean_Data!$L:$L,"Completed")</f>
        <v>2163.2799999999997</v>
      </c>
      <c r="I10" s="24">
        <f>SUMIFS(Clean_Data!$D:$D,Clean_Data!$J:$J,G10,Clean_Data!$L:$L,"Completed")</f>
        <v>543</v>
      </c>
      <c r="J10" s="24">
        <f>COUNTIFS(Clean_Data!$J:$J,G10,Clean_Data!$L:$L,"Completed")</f>
        <v>40</v>
      </c>
    </row>
    <row r="11" spans="1:12" x14ac:dyDescent="0.3">
      <c r="A11" s="24" t="s">
        <v>26</v>
      </c>
      <c r="B11" s="24">
        <f>COUNTIFS(Clean_Data!$H:$H,A11,Clean_Data!$L:$L,"Completed")</f>
        <v>46</v>
      </c>
      <c r="C11" s="24">
        <f>SUMIFS(Clean_Data!$D:$D,Clean_Data!$H:$H,A11,Clean_Data!$L:$L,"Completed")</f>
        <v>559</v>
      </c>
      <c r="D11" s="25">
        <f>SUMIFS(Clean_Data!$I:$I,Clean_Data!$H:$H,A11,Clean_Data!$L:$L,"Completed")</f>
        <v>2390.5099999999998</v>
      </c>
      <c r="E11" s="25">
        <f t="shared" si="0"/>
        <v>51.967608695652167</v>
      </c>
      <c r="G11" s="24" t="s">
        <v>104</v>
      </c>
      <c r="H11" s="25">
        <f>SUMIFS(Clean_Data!$I:$I,Clean_Data!$J:$J,G11,Clean_Data!$L:$L,"Completed")</f>
        <v>2368.8799999999997</v>
      </c>
      <c r="I11" s="24">
        <f>SUMIFS(Clean_Data!$D:$D,Clean_Data!$J:$J,G11,Clean_Data!$L:$L,"Completed")</f>
        <v>516</v>
      </c>
      <c r="J11" s="24">
        <f>COUNTIFS(Clean_Data!$J:$J,G11,Clean_Data!$L:$L,"Completed")</f>
        <v>45</v>
      </c>
    </row>
    <row r="12" spans="1:12" x14ac:dyDescent="0.3">
      <c r="A12" s="24" t="s">
        <v>28</v>
      </c>
      <c r="B12" s="24">
        <f>COUNTIFS(Clean_Data!$H:$H,A12,Clean_Data!$L:$L,"Completed")</f>
        <v>42</v>
      </c>
      <c r="C12" s="24">
        <f>SUMIFS(Clean_Data!$D:$D,Clean_Data!$H:$H,A12,Clean_Data!$L:$L,"Completed")</f>
        <v>488</v>
      </c>
      <c r="D12" s="25">
        <f>SUMIFS(Clean_Data!$I:$I,Clean_Data!$H:$H,A12,Clean_Data!$L:$L,"Completed")</f>
        <v>2594.1000000000004</v>
      </c>
      <c r="E12" s="25">
        <f t="shared" si="0"/>
        <v>61.76428571428572</v>
      </c>
      <c r="G12" s="24" t="s">
        <v>103</v>
      </c>
      <c r="H12" s="25">
        <f>SUMIFS(Clean_Data!$I:$I,Clean_Data!$J:$J,G12,Clean_Data!$L:$L,"Completed")</f>
        <v>3634.6200000000003</v>
      </c>
      <c r="I12" s="24">
        <f>SUMIFS(Clean_Data!$D:$D,Clean_Data!$J:$J,G12,Clean_Data!$L:$L,"Completed")</f>
        <v>668</v>
      </c>
      <c r="J12" s="24">
        <f>COUNTIFS(Clean_Data!$J:$J,G12,Clean_Data!$L:$L,"Completed")</f>
        <v>45</v>
      </c>
    </row>
    <row r="13" spans="1:12" x14ac:dyDescent="0.3">
      <c r="A13" s="24" t="s">
        <v>10</v>
      </c>
      <c r="B13" s="24">
        <f>COUNTIFS(Clean_Data!$H:$H,A13,Clean_Data!$L:$L,"Completed")</f>
        <v>51</v>
      </c>
      <c r="C13" s="24">
        <f>SUMIFS(Clean_Data!$D:$D,Clean_Data!$H:$H,A13,Clean_Data!$L:$L,"Completed")</f>
        <v>691</v>
      </c>
      <c r="D13" s="25">
        <f>SUMIFS(Clean_Data!$I:$I,Clean_Data!$H:$H,A13,Clean_Data!$L:$L,"Completed")</f>
        <v>3175.02</v>
      </c>
      <c r="E13" s="25">
        <f t="shared" si="0"/>
        <v>62.255294117647061</v>
      </c>
      <c r="G13" s="24" t="s">
        <v>105</v>
      </c>
      <c r="H13" s="25">
        <f>SUMIFS(Clean_Data!$I:$I,Clean_Data!$J:$J,G13,Clean_Data!$L:$L,"Completed")</f>
        <v>2073.5700000000002</v>
      </c>
      <c r="I13" s="24">
        <f>SUMIFS(Clean_Data!$D:$D,Clean_Data!$J:$J,G13,Clean_Data!$L:$L,"Completed")</f>
        <v>492</v>
      </c>
      <c r="J13" s="24">
        <f>COUNTIFS(Clean_Data!$J:$J,G13,Clean_Data!$L:$L,"Completed")</f>
        <v>40</v>
      </c>
    </row>
    <row r="14" spans="1:12" x14ac:dyDescent="0.3">
      <c r="A14" s="24" t="s">
        <v>20</v>
      </c>
      <c r="B14" s="24">
        <f>COUNTIFS(Clean_Data!$H:$H,A14,Clean_Data!$L:$L,"Completed")</f>
        <v>48</v>
      </c>
      <c r="C14" s="24">
        <f>SUMIFS(Clean_Data!$D:$D,Clean_Data!$H:$H,A14,Clean_Data!$L:$L,"Completed")</f>
        <v>572</v>
      </c>
      <c r="D14" s="25">
        <f>SUMIFS(Clean_Data!$I:$I,Clean_Data!$H:$H,A14,Clean_Data!$L:$L,"Completed")</f>
        <v>2256.4799999999996</v>
      </c>
      <c r="E14" s="25">
        <f t="shared" si="0"/>
        <v>47.009999999999991</v>
      </c>
      <c r="G14" s="24" t="s">
        <v>92</v>
      </c>
      <c r="H14" s="25">
        <f>SUMIFS(Clean_Data!$I:$I,Clean_Data!$J:$J,G14,Clean_Data!$L:$L,"Completed")</f>
        <v>2117.09</v>
      </c>
      <c r="I14" s="24">
        <f>SUMIFS(Clean_Data!$D:$D,Clean_Data!$J:$J,G14,Clean_Data!$L:$L,"Completed")</f>
        <v>467</v>
      </c>
      <c r="J14" s="24">
        <f>COUNTIFS(Clean_Data!$J:$J,G14,Clean_Data!$L:$L,"Completed")</f>
        <v>36</v>
      </c>
    </row>
    <row r="15" spans="1:12" x14ac:dyDescent="0.3">
      <c r="G15" s="24" t="s">
        <v>99</v>
      </c>
      <c r="H15" s="25">
        <f>SUMIFS(Clean_Data!$I:$I,Clean_Data!$J:$J,G15,Clean_Data!$L:$L,"Completed")</f>
        <v>1533.4300000000003</v>
      </c>
      <c r="I15" s="24">
        <f>SUMIFS(Clean_Data!$D:$D,Clean_Data!$J:$J,G15,Clean_Data!$L:$L,"Completed")</f>
        <v>364</v>
      </c>
      <c r="J15" s="24">
        <f>COUNTIFS(Clean_Data!$J:$J,G15,Clean_Data!$L:$L,"Completed")</f>
        <v>35</v>
      </c>
    </row>
    <row r="16" spans="1:12" x14ac:dyDescent="0.3">
      <c r="G16" s="24" t="s">
        <v>95</v>
      </c>
      <c r="H16" s="25">
        <f>SUMIFS(Clean_Data!$I:$I,Clean_Data!$J:$J,G16,Clean_Data!$L:$L,"Completed")</f>
        <v>2046.06</v>
      </c>
      <c r="I16" s="24">
        <f>SUMIFS(Clean_Data!$D:$D,Clean_Data!$J:$J,G16,Clean_Data!$L:$L,"Completed")</f>
        <v>451</v>
      </c>
      <c r="J16" s="24">
        <f>COUNTIFS(Clean_Data!$J:$J,G16,Clean_Data!$L:$L,"Completed")</f>
        <v>36</v>
      </c>
    </row>
    <row r="17" spans="1:3" ht="24.6" customHeight="1" x14ac:dyDescent="0.3">
      <c r="A17" s="42" t="s">
        <v>113</v>
      </c>
      <c r="B17" s="42"/>
    </row>
    <row r="18" spans="1:3" x14ac:dyDescent="0.3">
      <c r="A18" s="23" t="s">
        <v>111</v>
      </c>
      <c r="B18" s="23" t="s">
        <v>106</v>
      </c>
      <c r="C18" s="23" t="s">
        <v>84</v>
      </c>
    </row>
    <row r="19" spans="1:3" x14ac:dyDescent="0.3">
      <c r="A19" s="24" t="s">
        <v>96</v>
      </c>
      <c r="B19" s="24">
        <f>COUNTIF(Clean_Data!$M:$M,A19)</f>
        <v>191</v>
      </c>
      <c r="C19" s="25">
        <f>SUMIFS(Clean_Data!$I:$I,Clean_Data!$M:$M,A19,Clean_Data!$L:$L,"Completed")</f>
        <v>9056.1399999999976</v>
      </c>
    </row>
    <row r="20" spans="1:3" x14ac:dyDescent="0.3">
      <c r="A20" s="24" t="s">
        <v>91</v>
      </c>
      <c r="B20" s="24">
        <f>COUNTIF(Clean_Data!$M:$M,A20)</f>
        <v>162</v>
      </c>
      <c r="C20" s="25">
        <f>SUMIFS(Clean_Data!$I:$I,Clean_Data!$M:$M,A20,Clean_Data!$L:$L,"Completed")</f>
        <v>6517.7400000000016</v>
      </c>
    </row>
    <row r="21" spans="1:3" x14ac:dyDescent="0.3">
      <c r="A21" s="24" t="s">
        <v>94</v>
      </c>
      <c r="B21" s="24">
        <f>COUNTIF(Clean_Data!$M:$M,A21)</f>
        <v>146</v>
      </c>
      <c r="C21" s="25">
        <f>SUMIFS(Clean_Data!$I:$I,Clean_Data!$M:$M,A21,Clean_Data!$L:$L,"Completed")</f>
        <v>7898.2599999999984</v>
      </c>
    </row>
    <row r="22" spans="1:3" x14ac:dyDescent="0.3">
      <c r="A22" s="24" t="s">
        <v>101</v>
      </c>
      <c r="B22" s="24">
        <f>COUNTIF(Clean_Data!$M:$M,A22)</f>
        <v>1</v>
      </c>
      <c r="C22" s="25">
        <f>SUMIFS(Clean_Data!$I:$I,Clean_Data!$M:$M,A22,Clean_Data!$L:$L,"Completed")</f>
        <v>24.06</v>
      </c>
    </row>
  </sheetData>
  <mergeCells count="4">
    <mergeCell ref="A3:C3"/>
    <mergeCell ref="G3:I3"/>
    <mergeCell ref="A1:L1"/>
    <mergeCell ref="A17:B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09BC4-624E-4C03-AA5A-4E34AEBE45AD}">
  <dimension ref="A1:I23"/>
  <sheetViews>
    <sheetView workbookViewId="0">
      <selection activeCell="J4" sqref="J4"/>
    </sheetView>
  </sheetViews>
  <sheetFormatPr defaultRowHeight="14.4" x14ac:dyDescent="0.3"/>
  <cols>
    <col min="1" max="1" width="19.33203125" customWidth="1"/>
    <col min="2" max="2" width="17.44140625" customWidth="1"/>
    <col min="3" max="3" width="16.88671875" customWidth="1"/>
    <col min="4" max="4" width="14.77734375" customWidth="1"/>
    <col min="6" max="6" width="15.44140625" bestFit="1" customWidth="1"/>
    <col min="7" max="7" width="10.109375" bestFit="1" customWidth="1"/>
  </cols>
  <sheetData>
    <row r="1" spans="1:9" ht="32.4" customHeight="1" x14ac:dyDescent="0.3">
      <c r="B1" s="45" t="s">
        <v>130</v>
      </c>
      <c r="C1" s="44"/>
      <c r="D1" s="44"/>
      <c r="E1" s="44"/>
      <c r="F1" s="44"/>
      <c r="G1" s="44"/>
      <c r="H1" s="44"/>
      <c r="I1" s="44"/>
    </row>
    <row r="3" spans="1:9" ht="23.4" customHeight="1" x14ac:dyDescent="0.3">
      <c r="A3" s="23" t="s">
        <v>114</v>
      </c>
      <c r="B3" s="23" t="s">
        <v>115</v>
      </c>
      <c r="C3" s="23" t="s">
        <v>116</v>
      </c>
      <c r="D3" s="23" t="s">
        <v>117</v>
      </c>
      <c r="F3" s="46" t="s">
        <v>131</v>
      </c>
      <c r="G3" s="46"/>
      <c r="H3" s="46"/>
    </row>
    <row r="4" spans="1:9" ht="16.2" customHeight="1" x14ac:dyDescent="0.3">
      <c r="A4" s="26" t="s">
        <v>118</v>
      </c>
      <c r="B4" s="26">
        <v>99999</v>
      </c>
      <c r="C4" s="26" t="str">
        <f>IFERROR(_xlfn.XLOOKUP(B4,Clean_Data!$B:$B,Clean_Data!$C:$C),"Not Found")</f>
        <v>Not Found</v>
      </c>
      <c r="D4" s="28" t="str">
        <f>IFERROR(_xlfn.XLOOKUP(B4,Clean_Data!$B:$B,Clean_Data!$C:$C),"Not Found")</f>
        <v>Not Found</v>
      </c>
      <c r="F4" s="32" t="s">
        <v>126</v>
      </c>
      <c r="G4" s="30" t="s">
        <v>127</v>
      </c>
    </row>
    <row r="5" spans="1:9" x14ac:dyDescent="0.3">
      <c r="A5" s="26" t="s">
        <v>119</v>
      </c>
      <c r="B5" s="26" t="s">
        <v>24</v>
      </c>
      <c r="C5" s="26">
        <f>INDEX(Pivot_Summary!$D$5:$D$14,MATCH(B5,Pivot_Summary!$A$5:$A$14,0))</f>
        <v>2467.3800000000006</v>
      </c>
      <c r="D5" s="26">
        <f>INDEX([1]Pivot_Summary!$D$5:$D$14,MATCH(B5,[1]Pivot_Summary!$A$5:$A$14,0))</f>
        <v>2467.3800000000006</v>
      </c>
      <c r="F5" s="32" t="s">
        <v>128</v>
      </c>
      <c r="G5" s="30">
        <v>2024</v>
      </c>
    </row>
    <row r="6" spans="1:9" x14ac:dyDescent="0.3">
      <c r="A6" s="26" t="s">
        <v>120</v>
      </c>
      <c r="B6" s="26">
        <v>100</v>
      </c>
      <c r="C6" s="26" t="str">
        <f>IF(B6&gt;=100,"High","Low")</f>
        <v>High</v>
      </c>
      <c r="D6" s="26" t="str">
        <f>IF(B6&gt;=100,"High","Low")</f>
        <v>High</v>
      </c>
      <c r="F6" s="32" t="s">
        <v>129</v>
      </c>
      <c r="G6" s="31">
        <f>IF(G4="All",SUMIFS(Clean_Data!$I:$I,Clean_Data!$K:$K,G5,Clean_Data!$L:$L,"Completed"),SUMIFS(Clean_Data!$I:$I,Clean_Data!$H:$H,G4,Clean_Data!$K:$K,G5,Clean_Data!$L:$L,"Completed"))</f>
        <v>23496.19999999999</v>
      </c>
    </row>
    <row r="7" spans="1:9" x14ac:dyDescent="0.3">
      <c r="A7" s="26" t="s">
        <v>121</v>
      </c>
      <c r="B7" s="26">
        <v>2500</v>
      </c>
      <c r="C7" s="26" t="str">
        <f>IF(B7&gt;=5000,"Platinum",IF(B7&gt;=2500,"Gold",IF(B7&gt;=1000,"Silver","Bronze")))</f>
        <v>Gold</v>
      </c>
      <c r="D7" s="26" t="str">
        <f>IF(B7&gt;=5000,"Platinum",IF(B7&gt;=2500,"Gold",IF(B7&gt;=1000,"Silver","Bronze")))</f>
        <v>Gold</v>
      </c>
    </row>
    <row r="8" spans="1:9" x14ac:dyDescent="0.3">
      <c r="A8" s="26" t="s">
        <v>122</v>
      </c>
      <c r="B8" s="26" t="s">
        <v>14</v>
      </c>
      <c r="C8" s="27">
        <f>SUMIFS(Clean_Data!$I:$I,Clean_Data!$H:$H,B8,Clean_Data!$L:$L,"Completed")</f>
        <v>1695.5399999999997</v>
      </c>
      <c r="D8" s="26">
        <f>SUMIFS(Clean_Data!$I:$I,Clean_Data!$H:$H,B8,Clean_Data!$L:$L,"Completed")</f>
        <v>1695.5399999999997</v>
      </c>
    </row>
    <row r="9" spans="1:9" x14ac:dyDescent="0.3">
      <c r="A9" s="26" t="s">
        <v>123</v>
      </c>
      <c r="B9" s="26" t="s">
        <v>90</v>
      </c>
      <c r="C9" s="26">
        <f>COUNTIFS(Clean_Data!$L:$L,B9)</f>
        <v>461</v>
      </c>
      <c r="D9" s="26">
        <f>COUNTIFS(Clean_Data!$L:$L,B9)</f>
        <v>461</v>
      </c>
    </row>
    <row r="13" spans="1:9" x14ac:dyDescent="0.3">
      <c r="A13" s="29" t="s">
        <v>7</v>
      </c>
      <c r="B13" s="29" t="s">
        <v>84</v>
      </c>
      <c r="C13" s="29" t="s">
        <v>124</v>
      </c>
      <c r="D13" s="29" t="s">
        <v>125</v>
      </c>
    </row>
    <row r="14" spans="1:9" x14ac:dyDescent="0.3">
      <c r="A14" s="24" t="s">
        <v>14</v>
      </c>
      <c r="B14" s="25">
        <f>SUMIFS(Clean_Data!$I:$I,Clean_Data!$H:$H,A14,Clean_Data!$L:$L,"Completed")</f>
        <v>1695.5399999999997</v>
      </c>
      <c r="C14" s="24">
        <f>RANK(B14,$B$14:$B$23,0)</f>
        <v>9</v>
      </c>
      <c r="D14" s="24" t="str">
        <f>IF(B14&gt;=LARGE($B$14:$B$23,3),"Top 3",IF(B14&gt;=AVERAGE($B$14:$B$23),"Above Average","Below Average"))</f>
        <v>Below Average</v>
      </c>
    </row>
    <row r="15" spans="1:9" x14ac:dyDescent="0.3">
      <c r="A15" s="24" t="s">
        <v>24</v>
      </c>
      <c r="B15" s="25">
        <f>SUMIFS(Clean_Data!$I:$I,Clean_Data!$H:$H,A15,Clean_Data!$L:$L,"Completed")</f>
        <v>2467.3800000000006</v>
      </c>
      <c r="C15" s="24">
        <f t="shared" ref="C15:C23" si="0">RANK(B15,$B$14:$B$23,0)</f>
        <v>4</v>
      </c>
      <c r="D15" s="24" t="str">
        <f t="shared" ref="D15:D23" si="1">IF(B15&gt;=LARGE($B$14:$B$23,3),"Top 3",IF(B15&gt;=AVERAGE($B$14:$B$23),"Above Average","Below Average"))</f>
        <v>Above Average</v>
      </c>
    </row>
    <row r="16" spans="1:9" x14ac:dyDescent="0.3">
      <c r="A16" s="24" t="s">
        <v>23</v>
      </c>
      <c r="B16" s="25">
        <f>SUMIFS(Clean_Data!$I:$I,Clean_Data!$H:$H,A16,Clean_Data!$L:$L,"Completed")</f>
        <v>2071.5600000000004</v>
      </c>
      <c r="C16" s="24">
        <f t="shared" si="0"/>
        <v>7</v>
      </c>
      <c r="D16" s="24" t="str">
        <f t="shared" si="1"/>
        <v>Below Average</v>
      </c>
    </row>
    <row r="17" spans="1:4" x14ac:dyDescent="0.3">
      <c r="A17" s="24" t="s">
        <v>37</v>
      </c>
      <c r="B17" s="25">
        <f>SUMIFS(Clean_Data!$I:$I,Clean_Data!$H:$H,A17,Clean_Data!$L:$L,"Completed")</f>
        <v>1997.95</v>
      </c>
      <c r="C17" s="24">
        <f t="shared" si="0"/>
        <v>8</v>
      </c>
      <c r="D17" s="24" t="str">
        <f t="shared" si="1"/>
        <v>Below Average</v>
      </c>
    </row>
    <row r="18" spans="1:4" x14ac:dyDescent="0.3">
      <c r="A18" s="24" t="s">
        <v>22</v>
      </c>
      <c r="B18" s="25">
        <f>SUMIFS(Clean_Data!$I:$I,Clean_Data!$H:$H,A18,Clean_Data!$L:$L,"Completed")</f>
        <v>1398.13</v>
      </c>
      <c r="C18" s="24">
        <f t="shared" si="0"/>
        <v>10</v>
      </c>
      <c r="D18" s="24" t="str">
        <f t="shared" si="1"/>
        <v>Below Average</v>
      </c>
    </row>
    <row r="19" spans="1:4" x14ac:dyDescent="0.3">
      <c r="A19" s="24" t="s">
        <v>18</v>
      </c>
      <c r="B19" s="25">
        <f>SUMIFS(Clean_Data!$I:$I,Clean_Data!$H:$H,A19,Clean_Data!$L:$L,"Completed")</f>
        <v>3449.53</v>
      </c>
      <c r="C19" s="24">
        <f t="shared" si="0"/>
        <v>1</v>
      </c>
      <c r="D19" s="24" t="str">
        <f t="shared" si="1"/>
        <v>Top 3</v>
      </c>
    </row>
    <row r="20" spans="1:4" x14ac:dyDescent="0.3">
      <c r="A20" s="24" t="s">
        <v>26</v>
      </c>
      <c r="B20" s="25">
        <f>SUMIFS(Clean_Data!$I:$I,Clean_Data!$H:$H,A20,Clean_Data!$L:$L,"Completed")</f>
        <v>2390.5099999999998</v>
      </c>
      <c r="C20" s="24">
        <f t="shared" si="0"/>
        <v>5</v>
      </c>
      <c r="D20" s="24" t="str">
        <f t="shared" si="1"/>
        <v>Above Average</v>
      </c>
    </row>
    <row r="21" spans="1:4" x14ac:dyDescent="0.3">
      <c r="A21" s="24" t="s">
        <v>28</v>
      </c>
      <c r="B21" s="25">
        <f>SUMIFS(Clean_Data!$I:$I,Clean_Data!$H:$H,A21,Clean_Data!$L:$L,"Completed")</f>
        <v>2594.1000000000004</v>
      </c>
      <c r="C21" s="24">
        <f t="shared" si="0"/>
        <v>3</v>
      </c>
      <c r="D21" s="24" t="str">
        <f t="shared" si="1"/>
        <v>Top 3</v>
      </c>
    </row>
    <row r="22" spans="1:4" x14ac:dyDescent="0.3">
      <c r="A22" s="24" t="s">
        <v>10</v>
      </c>
      <c r="B22" s="25">
        <f>SUMIFS(Clean_Data!$I:$I,Clean_Data!$H:$H,A22,Clean_Data!$L:$L,"Completed")</f>
        <v>3175.02</v>
      </c>
      <c r="C22" s="24">
        <f t="shared" si="0"/>
        <v>2</v>
      </c>
      <c r="D22" s="24" t="str">
        <f t="shared" si="1"/>
        <v>Top 3</v>
      </c>
    </row>
    <row r="23" spans="1:4" x14ac:dyDescent="0.3">
      <c r="A23" s="24" t="s">
        <v>20</v>
      </c>
      <c r="B23" s="25">
        <f>SUMIFS(Clean_Data!$I:$I,Clean_Data!$H:$H,A23,Clean_Data!$L:$L,"Completed")</f>
        <v>2256.4799999999996</v>
      </c>
      <c r="C23" s="24">
        <f t="shared" si="0"/>
        <v>6</v>
      </c>
      <c r="D23" s="24" t="str">
        <f t="shared" si="1"/>
        <v>Below Average</v>
      </c>
    </row>
  </sheetData>
  <mergeCells count="2">
    <mergeCell ref="B1:I1"/>
    <mergeCell ref="F3:H3"/>
  </mergeCells>
  <dataValidations count="1">
    <dataValidation type="list" sqref="G4" xr:uid="{FD56DC45-1FA0-4966-92E8-2B6EBDEE9356}">
      <formula1>"All,United Kingdom,Germany,France,EIRE,Spain,Netherlands,Belgium,Switzerland,Portugal,Australia"</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E1EC1-8912-4B36-BB30-9A90E47D4996}">
  <dimension ref="A2:H15"/>
  <sheetViews>
    <sheetView showGridLines="0" workbookViewId="0">
      <selection activeCell="B16" sqref="B16"/>
    </sheetView>
  </sheetViews>
  <sheetFormatPr defaultRowHeight="14.4" x14ac:dyDescent="0.3"/>
  <cols>
    <col min="1" max="1" width="13.5546875" bestFit="1" customWidth="1"/>
    <col min="2" max="2" width="18.44140625" bestFit="1" customWidth="1"/>
    <col min="4" max="4" width="12.44140625" bestFit="1" customWidth="1"/>
    <col min="5" max="5" width="14.109375" bestFit="1" customWidth="1"/>
    <col min="7" max="7" width="12.44140625" bestFit="1" customWidth="1"/>
    <col min="8" max="8" width="18.44140625" bestFit="1" customWidth="1"/>
    <col min="9" max="9" width="10.5546875" bestFit="1" customWidth="1"/>
  </cols>
  <sheetData>
    <row r="2" spans="1:8" x14ac:dyDescent="0.3">
      <c r="A2" s="34" t="s">
        <v>151</v>
      </c>
      <c r="B2" t="s">
        <v>154</v>
      </c>
      <c r="D2" s="34" t="s">
        <v>151</v>
      </c>
      <c r="E2" t="s">
        <v>153</v>
      </c>
      <c r="G2" s="34" t="s">
        <v>151</v>
      </c>
      <c r="H2" t="s">
        <v>154</v>
      </c>
    </row>
    <row r="3" spans="1:8" x14ac:dyDescent="0.3">
      <c r="A3" s="35" t="s">
        <v>20</v>
      </c>
      <c r="B3">
        <v>51</v>
      </c>
      <c r="D3" s="35" t="s">
        <v>89</v>
      </c>
      <c r="E3" s="36">
        <v>1924.1000000000004</v>
      </c>
      <c r="G3" s="35" t="s">
        <v>89</v>
      </c>
      <c r="H3">
        <v>42</v>
      </c>
    </row>
    <row r="4" spans="1:8" x14ac:dyDescent="0.3">
      <c r="A4" s="35" t="s">
        <v>26</v>
      </c>
      <c r="B4">
        <v>52</v>
      </c>
      <c r="D4" s="35" t="s">
        <v>97</v>
      </c>
      <c r="E4" s="36">
        <v>1660.0199999999995</v>
      </c>
      <c r="G4" s="35" t="s">
        <v>97</v>
      </c>
      <c r="H4">
        <v>46</v>
      </c>
    </row>
    <row r="5" spans="1:8" x14ac:dyDescent="0.3">
      <c r="A5" s="35" t="s">
        <v>37</v>
      </c>
      <c r="B5">
        <v>47</v>
      </c>
      <c r="D5" s="35" t="s">
        <v>102</v>
      </c>
      <c r="E5" s="36">
        <v>1304.3500000000001</v>
      </c>
      <c r="G5" s="35" t="s">
        <v>102</v>
      </c>
      <c r="H5">
        <v>40</v>
      </c>
    </row>
    <row r="6" spans="1:8" x14ac:dyDescent="0.3">
      <c r="A6" s="35" t="s">
        <v>23</v>
      </c>
      <c r="B6">
        <v>51</v>
      </c>
      <c r="D6" s="35" t="s">
        <v>93</v>
      </c>
      <c r="E6" s="36">
        <v>1051.24</v>
      </c>
      <c r="G6" s="35" t="s">
        <v>93</v>
      </c>
      <c r="H6">
        <v>32</v>
      </c>
    </row>
    <row r="7" spans="1:8" x14ac:dyDescent="0.3">
      <c r="A7" s="35" t="s">
        <v>24</v>
      </c>
      <c r="B7">
        <v>53</v>
      </c>
      <c r="D7" s="35" t="s">
        <v>100</v>
      </c>
      <c r="E7" s="36">
        <v>1488.5299999999997</v>
      </c>
      <c r="G7" s="35" t="s">
        <v>100</v>
      </c>
      <c r="H7">
        <v>38</v>
      </c>
    </row>
    <row r="8" spans="1:8" x14ac:dyDescent="0.3">
      <c r="A8" s="35" t="s">
        <v>18</v>
      </c>
      <c r="B8">
        <v>59</v>
      </c>
      <c r="D8" s="35" t="s">
        <v>98</v>
      </c>
      <c r="E8" s="36">
        <v>2108.0699999999997</v>
      </c>
      <c r="G8" s="35" t="s">
        <v>98</v>
      </c>
      <c r="H8">
        <v>44</v>
      </c>
    </row>
    <row r="9" spans="1:8" x14ac:dyDescent="0.3">
      <c r="A9" s="35" t="s">
        <v>10</v>
      </c>
      <c r="B9">
        <v>54</v>
      </c>
      <c r="D9" s="35" t="s">
        <v>104</v>
      </c>
      <c r="E9" s="36">
        <v>2324.7399999999998</v>
      </c>
      <c r="G9" s="35" t="s">
        <v>104</v>
      </c>
      <c r="H9">
        <v>49</v>
      </c>
    </row>
    <row r="10" spans="1:8" x14ac:dyDescent="0.3">
      <c r="A10" s="35" t="s">
        <v>22</v>
      </c>
      <c r="B10">
        <v>45</v>
      </c>
      <c r="D10" s="35" t="s">
        <v>103</v>
      </c>
      <c r="E10" s="36">
        <v>3590.7500000000005</v>
      </c>
      <c r="G10" s="35" t="s">
        <v>103</v>
      </c>
      <c r="H10">
        <v>49</v>
      </c>
    </row>
    <row r="11" spans="1:8" x14ac:dyDescent="0.3">
      <c r="A11" s="35" t="s">
        <v>28</v>
      </c>
      <c r="B11">
        <v>49</v>
      </c>
      <c r="D11" s="35" t="s">
        <v>105</v>
      </c>
      <c r="E11" s="36">
        <v>2061.7400000000002</v>
      </c>
      <c r="G11" s="35" t="s">
        <v>105</v>
      </c>
      <c r="H11">
        <v>41</v>
      </c>
    </row>
    <row r="12" spans="1:8" x14ac:dyDescent="0.3">
      <c r="A12" s="35" t="s">
        <v>14</v>
      </c>
      <c r="B12">
        <v>39</v>
      </c>
      <c r="D12" s="35" t="s">
        <v>92</v>
      </c>
      <c r="E12" s="36">
        <v>2046.69</v>
      </c>
      <c r="G12" s="35" t="s">
        <v>92</v>
      </c>
      <c r="H12">
        <v>40</v>
      </c>
    </row>
    <row r="13" spans="1:8" x14ac:dyDescent="0.3">
      <c r="A13" s="35" t="s">
        <v>152</v>
      </c>
      <c r="B13">
        <v>500</v>
      </c>
      <c r="D13" s="35" t="s">
        <v>99</v>
      </c>
      <c r="E13" s="36">
        <v>1495.6200000000001</v>
      </c>
      <c r="G13" s="35" t="s">
        <v>99</v>
      </c>
      <c r="H13">
        <v>38</v>
      </c>
    </row>
    <row r="14" spans="1:8" x14ac:dyDescent="0.3">
      <c r="D14" s="35" t="s">
        <v>95</v>
      </c>
      <c r="E14" s="36">
        <v>2017.4999999999998</v>
      </c>
      <c r="G14" s="35" t="s">
        <v>95</v>
      </c>
      <c r="H14">
        <v>41</v>
      </c>
    </row>
    <row r="15" spans="1:8" x14ac:dyDescent="0.3">
      <c r="D15" s="35" t="s">
        <v>152</v>
      </c>
      <c r="E15" s="36">
        <v>23073.35</v>
      </c>
      <c r="G15" s="35" t="s">
        <v>152</v>
      </c>
      <c r="H15">
        <v>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75378-B794-4BC6-BEB3-63E7F1F6C5D8}">
  <dimension ref="A1:N11"/>
  <sheetViews>
    <sheetView workbookViewId="0">
      <selection activeCell="B8" sqref="B8:H8"/>
    </sheetView>
  </sheetViews>
  <sheetFormatPr defaultRowHeight="14.4" x14ac:dyDescent="0.3"/>
  <cols>
    <col min="1" max="1" width="27" customWidth="1"/>
    <col min="8" max="8" width="89" customWidth="1"/>
  </cols>
  <sheetData>
    <row r="1" spans="1:14" ht="37.799999999999997" customHeight="1" x14ac:dyDescent="0.3">
      <c r="A1" s="40" t="s">
        <v>132</v>
      </c>
      <c r="B1" s="40"/>
      <c r="C1" s="40"/>
      <c r="D1" s="40"/>
      <c r="E1" s="40"/>
      <c r="F1" s="40"/>
      <c r="G1" s="40"/>
      <c r="H1" s="40"/>
      <c r="I1" s="40"/>
      <c r="J1" s="40"/>
      <c r="K1" s="40"/>
      <c r="L1" s="40"/>
      <c r="M1" s="40"/>
      <c r="N1" s="40"/>
    </row>
    <row r="3" spans="1:14" ht="38.4" customHeight="1" x14ac:dyDescent="0.3">
      <c r="A3" s="33" t="s">
        <v>133</v>
      </c>
      <c r="B3" s="37" t="s">
        <v>134</v>
      </c>
      <c r="C3" s="38"/>
      <c r="D3" s="38"/>
      <c r="E3" s="38"/>
      <c r="F3" s="38"/>
      <c r="G3" s="38"/>
      <c r="H3" s="39"/>
    </row>
    <row r="4" spans="1:14" ht="32.4" customHeight="1" x14ac:dyDescent="0.3">
      <c r="A4" s="33" t="s">
        <v>135</v>
      </c>
      <c r="B4" s="37" t="s">
        <v>136</v>
      </c>
      <c r="C4" s="38"/>
      <c r="D4" s="38"/>
      <c r="E4" s="38"/>
      <c r="F4" s="38"/>
      <c r="G4" s="38"/>
      <c r="H4" s="39"/>
    </row>
    <row r="5" spans="1:14" ht="34.200000000000003" customHeight="1" x14ac:dyDescent="0.3">
      <c r="A5" s="33" t="s">
        <v>137</v>
      </c>
      <c r="B5" s="37" t="s">
        <v>138</v>
      </c>
      <c r="C5" s="38"/>
      <c r="D5" s="38"/>
      <c r="E5" s="38"/>
      <c r="F5" s="38"/>
      <c r="G5" s="38"/>
      <c r="H5" s="39"/>
    </row>
    <row r="6" spans="1:14" ht="31.2" customHeight="1" x14ac:dyDescent="0.3">
      <c r="A6" s="33" t="s">
        <v>139</v>
      </c>
      <c r="B6" s="37" t="s">
        <v>140</v>
      </c>
      <c r="C6" s="38"/>
      <c r="D6" s="38"/>
      <c r="E6" s="38"/>
      <c r="F6" s="38"/>
      <c r="G6" s="38"/>
      <c r="H6" s="39"/>
    </row>
    <row r="7" spans="1:14" ht="31.2" customHeight="1" x14ac:dyDescent="0.3">
      <c r="A7" s="33" t="s">
        <v>141</v>
      </c>
      <c r="B7" s="37" t="s">
        <v>142</v>
      </c>
      <c r="C7" s="38"/>
      <c r="D7" s="38"/>
      <c r="E7" s="38"/>
      <c r="F7" s="38"/>
      <c r="G7" s="38"/>
      <c r="H7" s="39"/>
    </row>
    <row r="8" spans="1:14" ht="32.4" customHeight="1" x14ac:dyDescent="0.3">
      <c r="A8" s="33" t="s">
        <v>143</v>
      </c>
      <c r="B8" s="37" t="s">
        <v>144</v>
      </c>
      <c r="C8" s="38"/>
      <c r="D8" s="38"/>
      <c r="E8" s="38"/>
      <c r="F8" s="38"/>
      <c r="G8" s="38"/>
      <c r="H8" s="39"/>
    </row>
    <row r="9" spans="1:14" ht="36" customHeight="1" x14ac:dyDescent="0.3">
      <c r="A9" s="33" t="s">
        <v>145</v>
      </c>
      <c r="B9" s="37" t="s">
        <v>146</v>
      </c>
      <c r="C9" s="38"/>
      <c r="D9" s="38"/>
      <c r="E9" s="38"/>
      <c r="F9" s="38"/>
      <c r="G9" s="38"/>
      <c r="H9" s="39"/>
    </row>
    <row r="10" spans="1:14" ht="36" customHeight="1" x14ac:dyDescent="0.3">
      <c r="A10" s="33" t="s">
        <v>147</v>
      </c>
      <c r="B10" s="37" t="s">
        <v>148</v>
      </c>
      <c r="C10" s="38"/>
      <c r="D10" s="38"/>
      <c r="E10" s="38"/>
      <c r="F10" s="38"/>
      <c r="G10" s="38"/>
      <c r="H10" s="39"/>
    </row>
    <row r="11" spans="1:14" ht="30" customHeight="1" x14ac:dyDescent="0.3">
      <c r="A11" s="33" t="s">
        <v>149</v>
      </c>
      <c r="B11" s="37" t="s">
        <v>150</v>
      </c>
      <c r="C11" s="38"/>
      <c r="D11" s="38"/>
      <c r="E11" s="38"/>
      <c r="F11" s="38"/>
      <c r="G11" s="38"/>
      <c r="H11" s="39"/>
    </row>
  </sheetData>
  <mergeCells count="10">
    <mergeCell ref="A1:N1"/>
    <mergeCell ref="B3:H3"/>
    <mergeCell ref="B4:H4"/>
    <mergeCell ref="B5:H5"/>
    <mergeCell ref="B6:H6"/>
    <mergeCell ref="B7:H7"/>
    <mergeCell ref="B8:H8"/>
    <mergeCell ref="B9:H9"/>
    <mergeCell ref="B10:H10"/>
    <mergeCell ref="B11:H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Row_data</vt:lpstr>
      <vt:lpstr>Clean_Data</vt:lpstr>
      <vt:lpstr>Pivot_Summary</vt:lpstr>
      <vt:lpstr>Advanced_Formulas</vt:lpstr>
      <vt:lpstr>pivot_table</vt:lpstr>
      <vt:lpstr>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Divyesh Jadav</dc:creator>
  <cp:lastModifiedBy>Divyesh Jadav</cp:lastModifiedBy>
  <dcterms:created xsi:type="dcterms:W3CDTF">2026-09-16T14:37:44Z</dcterms:created>
  <dcterms:modified xsi:type="dcterms:W3CDTF">2026-09-18T09:01:39Z</dcterms:modified>
</cp:coreProperties>
</file>